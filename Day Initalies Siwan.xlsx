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E:\Sujeet\"/>
    </mc:Choice>
  </mc:AlternateContent>
  <xr:revisionPtr revIDLastSave="0" documentId="13_ncr:1_{483D63BF-7806-4E82-B3A4-C1599FCB8080}" xr6:coauthVersionLast="47" xr6:coauthVersionMax="47" xr10:uidLastSave="{00000000-0000-0000-0000-000000000000}"/>
  <bookViews>
    <workbookView xWindow="-120" yWindow="-120" windowWidth="20730" windowHeight="11160" firstSheet="1" activeTab="3" xr2:uid="{00000000-000D-0000-FFFF-FFFF00000000}"/>
  </bookViews>
  <sheets>
    <sheet name="Daily Report" sheetId="3" r:id="rId1"/>
    <sheet name="Pending Branch Day Close Report" sheetId="5" r:id="rId2"/>
    <sheet name="Sheet1" sheetId="25" r:id="rId3"/>
    <sheet name="Pendency" sheetId="9" r:id="rId4"/>
    <sheet name="Pendency (2)" sheetId="26" r:id="rId5"/>
    <sheet name="Hospi Cash" sheetId="24" r:id="rId6"/>
  </sheets>
  <definedNames>
    <definedName name="_xlnm._FilterDatabase" localSheetId="2" hidden="1">Sheet1!$A$1:$AI$36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26" l="1"/>
  <c r="F26" i="26"/>
  <c r="G26" i="26"/>
  <c r="H26" i="26"/>
  <c r="I26" i="26"/>
  <c r="J26" i="26"/>
  <c r="K26" i="26"/>
  <c r="L26" i="26"/>
  <c r="A2" i="9"/>
  <c r="B2" i="9"/>
  <c r="C2" i="9"/>
  <c r="D2" i="9"/>
  <c r="E2" i="9"/>
  <c r="F2" i="9"/>
  <c r="G2" i="9"/>
  <c r="H2" i="9"/>
  <c r="I2" i="9"/>
  <c r="J2" i="9"/>
  <c r="K2" i="9"/>
  <c r="L2" i="9"/>
  <c r="M2" i="9"/>
  <c r="A3" i="9"/>
  <c r="B3" i="9"/>
  <c r="C3" i="9"/>
  <c r="D3" i="9"/>
  <c r="E3" i="9"/>
  <c r="F3" i="9"/>
  <c r="G3" i="9"/>
  <c r="H3" i="9"/>
  <c r="I3" i="9"/>
  <c r="J3" i="9"/>
  <c r="K3" i="9"/>
  <c r="L3" i="9"/>
  <c r="M3" i="9"/>
  <c r="A4" i="9"/>
  <c r="B4" i="9"/>
  <c r="C4" i="9"/>
  <c r="D4" i="9"/>
  <c r="E4" i="9"/>
  <c r="F4" i="9"/>
  <c r="G4" i="9"/>
  <c r="H4" i="9"/>
  <c r="I4" i="9"/>
  <c r="J4" i="9"/>
  <c r="K4" i="9"/>
  <c r="L4" i="9"/>
  <c r="M4" i="9"/>
  <c r="A5" i="9"/>
  <c r="B5" i="9"/>
  <c r="C5" i="9"/>
  <c r="D5" i="9"/>
  <c r="E5" i="9"/>
  <c r="F5" i="9"/>
  <c r="G5" i="9"/>
  <c r="H5" i="9"/>
  <c r="I5" i="9"/>
  <c r="J5" i="9"/>
  <c r="K5" i="9"/>
  <c r="L5" i="9"/>
  <c r="M5" i="9"/>
  <c r="A6" i="9"/>
  <c r="B6" i="9"/>
  <c r="C6" i="9"/>
  <c r="D6" i="9"/>
  <c r="E6" i="9"/>
  <c r="F6" i="9"/>
  <c r="G6" i="9"/>
  <c r="H6" i="9"/>
  <c r="I6" i="9"/>
  <c r="J6" i="9"/>
  <c r="K6" i="9"/>
  <c r="L6" i="9"/>
  <c r="M6" i="9"/>
  <c r="A7" i="9"/>
  <c r="B7" i="9"/>
  <c r="C7" i="9"/>
  <c r="D7" i="9"/>
  <c r="E7" i="9"/>
  <c r="F7" i="9"/>
  <c r="G7" i="9"/>
  <c r="H7" i="9"/>
  <c r="I7" i="9"/>
  <c r="J7" i="9"/>
  <c r="K7" i="9"/>
  <c r="L7" i="9"/>
  <c r="M7" i="9"/>
  <c r="E8" i="9"/>
  <c r="F8" i="9"/>
  <c r="G8" i="9"/>
  <c r="H8" i="9"/>
  <c r="I8" i="9"/>
  <c r="J8" i="9"/>
  <c r="K8" i="9"/>
  <c r="L8" i="9"/>
  <c r="A9" i="9"/>
  <c r="B9" i="9"/>
  <c r="C9" i="9"/>
  <c r="D9" i="9"/>
  <c r="E9" i="9"/>
  <c r="F9" i="9"/>
  <c r="G9" i="9"/>
  <c r="H9" i="9"/>
  <c r="I9" i="9"/>
  <c r="J9" i="9"/>
  <c r="K9" i="9"/>
  <c r="L9" i="9"/>
  <c r="M9" i="9"/>
  <c r="A10" i="9"/>
  <c r="B10" i="9"/>
  <c r="C10" i="9"/>
  <c r="D10" i="9"/>
  <c r="E10" i="9"/>
  <c r="F10" i="9"/>
  <c r="G10" i="9"/>
  <c r="H10" i="9"/>
  <c r="I10" i="9"/>
  <c r="J10" i="9"/>
  <c r="K10" i="9"/>
  <c r="L10" i="9"/>
  <c r="M10" i="9"/>
  <c r="A11" i="9"/>
  <c r="B11" i="9"/>
  <c r="C11" i="9"/>
  <c r="D11" i="9"/>
  <c r="E11" i="9"/>
  <c r="F11" i="9"/>
  <c r="G11" i="9"/>
  <c r="H11" i="9"/>
  <c r="I11" i="9"/>
  <c r="J11" i="9"/>
  <c r="K11" i="9"/>
  <c r="L11" i="9"/>
  <c r="M11" i="9"/>
  <c r="A12" i="9"/>
  <c r="B12" i="9"/>
  <c r="C12" i="9"/>
  <c r="D12" i="9"/>
  <c r="E12" i="9"/>
  <c r="F12" i="9"/>
  <c r="G12" i="9"/>
  <c r="H12" i="9"/>
  <c r="I12" i="9"/>
  <c r="J12" i="9"/>
  <c r="K12" i="9"/>
  <c r="L12" i="9"/>
  <c r="M12" i="9"/>
  <c r="A13" i="9"/>
  <c r="B13" i="9"/>
  <c r="C13" i="9"/>
  <c r="D13" i="9"/>
  <c r="E13" i="9"/>
  <c r="F13" i="9"/>
  <c r="G13" i="9"/>
  <c r="H13" i="9"/>
  <c r="I13" i="9"/>
  <c r="J13" i="9"/>
  <c r="K13" i="9"/>
  <c r="L13" i="9"/>
  <c r="M13" i="9"/>
  <c r="A14" i="9"/>
  <c r="B14" i="9"/>
  <c r="C14" i="9"/>
  <c r="D14" i="9"/>
  <c r="E14" i="9"/>
  <c r="F14" i="9"/>
  <c r="G14" i="9"/>
  <c r="H14" i="9"/>
  <c r="I14" i="9"/>
  <c r="J14" i="9"/>
  <c r="K14" i="9"/>
  <c r="L14" i="9"/>
  <c r="M14" i="9"/>
  <c r="E15" i="9"/>
  <c r="F15" i="9"/>
  <c r="G15" i="9"/>
  <c r="H15" i="9"/>
  <c r="I15" i="9"/>
  <c r="J15" i="9"/>
  <c r="K15" i="9"/>
  <c r="L15" i="9"/>
  <c r="A16" i="9"/>
  <c r="B16" i="9"/>
  <c r="C16" i="9"/>
  <c r="D16" i="9"/>
  <c r="E16" i="9"/>
  <c r="F16" i="9"/>
  <c r="G16" i="9"/>
  <c r="H16" i="9"/>
  <c r="I16" i="9"/>
  <c r="J16" i="9"/>
  <c r="K16" i="9"/>
  <c r="L16" i="9"/>
  <c r="M16" i="9"/>
  <c r="A17" i="9"/>
  <c r="B17" i="9"/>
  <c r="C17" i="9"/>
  <c r="D17" i="9"/>
  <c r="E17" i="9"/>
  <c r="F17" i="9"/>
  <c r="G17" i="9"/>
  <c r="H17" i="9"/>
  <c r="I17" i="9"/>
  <c r="J17" i="9"/>
  <c r="K17" i="9"/>
  <c r="L17" i="9"/>
  <c r="M17" i="9"/>
  <c r="A18" i="9"/>
  <c r="B18" i="9"/>
  <c r="C18" i="9"/>
  <c r="D18" i="9"/>
  <c r="E18" i="9"/>
  <c r="F18" i="9"/>
  <c r="G18" i="9"/>
  <c r="H18" i="9"/>
  <c r="I18" i="9"/>
  <c r="J18" i="9"/>
  <c r="K18" i="9"/>
  <c r="L18" i="9"/>
  <c r="M18" i="9"/>
  <c r="A19" i="9"/>
  <c r="B19" i="9"/>
  <c r="C19" i="9"/>
  <c r="D19" i="9"/>
  <c r="E19" i="9"/>
  <c r="F19" i="9"/>
  <c r="G19" i="9"/>
  <c r="H19" i="9"/>
  <c r="I19" i="9"/>
  <c r="J19" i="9"/>
  <c r="K19" i="9"/>
  <c r="L19" i="9"/>
  <c r="M19" i="9"/>
  <c r="A20" i="9"/>
  <c r="B20" i="9"/>
  <c r="C20" i="9"/>
  <c r="D20" i="9"/>
  <c r="E20" i="9"/>
  <c r="F20" i="9"/>
  <c r="G20" i="9"/>
  <c r="H20" i="9"/>
  <c r="I20" i="9"/>
  <c r="J20" i="9"/>
  <c r="K20" i="9"/>
  <c r="L20" i="9"/>
  <c r="M20" i="9"/>
  <c r="A21" i="9"/>
  <c r="B21" i="9"/>
  <c r="C21" i="9"/>
  <c r="D21" i="9"/>
  <c r="E21" i="9"/>
  <c r="F21" i="9"/>
  <c r="G21" i="9"/>
  <c r="H21" i="9"/>
  <c r="I21" i="9"/>
  <c r="J21" i="9"/>
  <c r="K21" i="9"/>
  <c r="L21" i="9"/>
  <c r="M21" i="9"/>
  <c r="E22" i="9"/>
  <c r="F22" i="9"/>
  <c r="G22" i="9"/>
  <c r="H22" i="9"/>
  <c r="I22" i="9"/>
  <c r="J22" i="9"/>
  <c r="K22" i="9"/>
  <c r="L22" i="9"/>
  <c r="A23" i="9"/>
  <c r="B23" i="9"/>
  <c r="C23" i="9"/>
  <c r="D23" i="9"/>
  <c r="E23" i="9"/>
  <c r="F23" i="9"/>
  <c r="G23" i="9"/>
  <c r="H23" i="9"/>
  <c r="I23" i="9"/>
  <c r="J23" i="9"/>
  <c r="K23" i="9"/>
  <c r="L23" i="9"/>
  <c r="M23" i="9"/>
  <c r="A24" i="9"/>
  <c r="B24" i="9"/>
  <c r="C24" i="9"/>
  <c r="D24" i="9"/>
  <c r="E24" i="9"/>
  <c r="F24" i="9"/>
  <c r="G24" i="9"/>
  <c r="H24" i="9"/>
  <c r="I24" i="9"/>
  <c r="J24" i="9"/>
  <c r="K24" i="9"/>
  <c r="L24" i="9"/>
  <c r="M24" i="9"/>
  <c r="A25" i="9"/>
  <c r="B25" i="9"/>
  <c r="C25" i="9"/>
  <c r="D25" i="9"/>
  <c r="E25" i="9"/>
  <c r="F25" i="9"/>
  <c r="G25" i="9"/>
  <c r="H25" i="9"/>
  <c r="I25" i="9"/>
  <c r="J25" i="9"/>
  <c r="K25" i="9"/>
  <c r="L25" i="9"/>
  <c r="M25" i="9"/>
  <c r="A26" i="9" l="1"/>
  <c r="B26" i="9"/>
  <c r="C26" i="9"/>
  <c r="D26" i="9"/>
  <c r="E26" i="9"/>
  <c r="F26" i="9"/>
  <c r="G26" i="9"/>
  <c r="H26" i="9"/>
  <c r="I26" i="9"/>
  <c r="J26" i="9"/>
  <c r="K26" i="9"/>
  <c r="L26" i="9"/>
  <c r="M26" i="9"/>
  <c r="A27" i="9"/>
  <c r="B27" i="9"/>
  <c r="C27" i="9"/>
  <c r="D27" i="9"/>
  <c r="E27" i="9"/>
  <c r="F27" i="9"/>
  <c r="G27" i="9"/>
  <c r="H27" i="9"/>
  <c r="I27" i="9"/>
  <c r="J27" i="9"/>
  <c r="K27" i="9"/>
  <c r="L27" i="9"/>
  <c r="M27" i="9"/>
  <c r="A28" i="9"/>
  <c r="B28" i="9"/>
  <c r="C28" i="9"/>
  <c r="D28" i="9"/>
  <c r="E28" i="9"/>
  <c r="F28" i="9"/>
  <c r="G28" i="9"/>
  <c r="H28" i="9"/>
  <c r="I28" i="9"/>
  <c r="J28" i="9"/>
  <c r="K28" i="9"/>
  <c r="L28" i="9"/>
  <c r="M28" i="9"/>
  <c r="J29" i="9" l="1"/>
  <c r="J30" i="9" s="1"/>
  <c r="I29" i="9"/>
  <c r="H29" i="9"/>
  <c r="H30" i="9" s="1"/>
  <c r="G29" i="9"/>
  <c r="G30" i="9" s="1"/>
  <c r="F29" i="9"/>
  <c r="E29" i="9"/>
  <c r="E30" i="9" s="1"/>
  <c r="I30" i="9" l="1"/>
  <c r="F30" i="9"/>
  <c r="L30" i="9" s="1"/>
  <c r="K29" i="9"/>
  <c r="L29" i="9"/>
  <c r="K30" i="9"/>
  <c r="K44" i="24" l="1"/>
  <c r="C34" i="24" l="1"/>
  <c r="E13" i="3" l="1"/>
  <c r="F13" i="3"/>
  <c r="G13" i="3"/>
  <c r="H13" i="3"/>
  <c r="I13" i="3"/>
  <c r="J13" i="3"/>
  <c r="K13" i="3"/>
  <c r="L13" i="3"/>
  <c r="M13" i="3"/>
  <c r="N13" i="3"/>
  <c r="F14" i="3" l="1"/>
  <c r="D34" i="24"/>
  <c r="J47" i="24" l="1"/>
  <c r="I47" i="24"/>
  <c r="H47" i="24"/>
  <c r="G47" i="24"/>
  <c r="F47" i="24"/>
  <c r="E47" i="24"/>
  <c r="D47" i="24"/>
  <c r="C47" i="24"/>
  <c r="N46" i="24"/>
  <c r="M46" i="24"/>
  <c r="L46" i="24"/>
  <c r="K46" i="24"/>
  <c r="N45" i="24"/>
  <c r="M45" i="24"/>
  <c r="L45" i="24"/>
  <c r="K45" i="24"/>
  <c r="N44" i="24"/>
  <c r="M44" i="24"/>
  <c r="M47" i="24" s="1"/>
  <c r="L44" i="24"/>
  <c r="J43" i="24"/>
  <c r="I43" i="24"/>
  <c r="H43" i="24"/>
  <c r="G43" i="24"/>
  <c r="F43" i="24"/>
  <c r="E43" i="24"/>
  <c r="D43" i="24"/>
  <c r="C43" i="24"/>
  <c r="N42" i="24"/>
  <c r="M42" i="24"/>
  <c r="L42" i="24"/>
  <c r="K42" i="24"/>
  <c r="N41" i="24"/>
  <c r="M41" i="24"/>
  <c r="L41" i="24"/>
  <c r="K41" i="24"/>
  <c r="N40" i="24"/>
  <c r="N43" i="24" s="1"/>
  <c r="M40" i="24"/>
  <c r="M43" i="24" s="1"/>
  <c r="L40" i="24"/>
  <c r="L43" i="24" s="1"/>
  <c r="K40" i="24"/>
  <c r="K43" i="24" s="1"/>
  <c r="D35" i="24"/>
  <c r="L34" i="24"/>
  <c r="L35" i="24" s="1"/>
  <c r="K34" i="24"/>
  <c r="K35" i="24" s="1"/>
  <c r="J34" i="24"/>
  <c r="J35" i="24" s="1"/>
  <c r="I34" i="24"/>
  <c r="I35" i="24" s="1"/>
  <c r="F34" i="24"/>
  <c r="F35" i="24" s="1"/>
  <c r="E34" i="24"/>
  <c r="E35" i="24" s="1"/>
  <c r="C35" i="24"/>
  <c r="N33" i="24"/>
  <c r="M33" i="24"/>
  <c r="H33" i="24"/>
  <c r="G33" i="24"/>
  <c r="N32" i="24"/>
  <c r="M32" i="24"/>
  <c r="H32" i="24"/>
  <c r="G32" i="24"/>
  <c r="N31" i="24"/>
  <c r="M31" i="24"/>
  <c r="H31" i="24"/>
  <c r="G31" i="24"/>
  <c r="N29" i="24"/>
  <c r="M29" i="24"/>
  <c r="H29" i="24"/>
  <c r="G29" i="24"/>
  <c r="N28" i="24"/>
  <c r="M28" i="24"/>
  <c r="H28" i="24"/>
  <c r="G28" i="24"/>
  <c r="N27" i="24"/>
  <c r="M27" i="24"/>
  <c r="H27" i="24"/>
  <c r="G27" i="24"/>
  <c r="E48" i="24" l="1"/>
  <c r="J48" i="24"/>
  <c r="I48" i="24"/>
  <c r="N34" i="24"/>
  <c r="N35" i="24" s="1"/>
  <c r="M48" i="24"/>
  <c r="K47" i="24"/>
  <c r="K48" i="24" s="1"/>
  <c r="F48" i="24"/>
  <c r="C48" i="24"/>
  <c r="H48" i="24"/>
  <c r="N47" i="24"/>
  <c r="N48" i="24" s="1"/>
  <c r="G34" i="24"/>
  <c r="G35" i="24" s="1"/>
  <c r="M34" i="24"/>
  <c r="M35" i="24" s="1"/>
  <c r="H34" i="24"/>
  <c r="H35" i="24" s="1"/>
  <c r="G48" i="24"/>
  <c r="D48" i="24"/>
  <c r="L47" i="24"/>
  <c r="L48" i="24" s="1"/>
  <c r="C21" i="24"/>
  <c r="Y22" i="24" l="1"/>
  <c r="Z22" i="24" l="1"/>
  <c r="D11" i="24" l="1"/>
  <c r="E11" i="24"/>
  <c r="F11" i="24"/>
  <c r="C11" i="24"/>
  <c r="C6" i="24"/>
  <c r="D6" i="24"/>
  <c r="E6" i="24"/>
  <c r="F6" i="24"/>
  <c r="F12" i="24" l="1"/>
  <c r="C12" i="24"/>
  <c r="D12" i="24"/>
  <c r="E12" i="24"/>
  <c r="O13" i="3" l="1"/>
  <c r="F8" i="3" l="1"/>
  <c r="F9" i="3" s="1"/>
  <c r="F15" i="3" s="1"/>
  <c r="P8" i="3"/>
  <c r="Q8" i="3"/>
  <c r="P13" i="3"/>
  <c r="Q13" i="3"/>
  <c r="F51" i="3" l="1"/>
  <c r="E51" i="3"/>
  <c r="D51" i="3"/>
  <c r="C51" i="3"/>
  <c r="G51" i="3" l="1"/>
  <c r="H51" i="3"/>
  <c r="I51" i="3"/>
</calcChain>
</file>

<file path=xl/sharedStrings.xml><?xml version="1.0" encoding="utf-8"?>
<sst xmlns="http://schemas.openxmlformats.org/spreadsheetml/2006/main" count="824" uniqueCount="374">
  <si>
    <t>HOT-North East Zone</t>
  </si>
  <si>
    <t>Zone</t>
  </si>
  <si>
    <t>DistrictName</t>
  </si>
  <si>
    <t>EAST CHAMPARAN</t>
  </si>
  <si>
    <t>MUZAFFARPUR</t>
  </si>
  <si>
    <t>SITAMARHI&amp;DARBHANGA</t>
  </si>
  <si>
    <t>Total</t>
  </si>
  <si>
    <t>Muzaffarpur</t>
  </si>
  <si>
    <t>Saran</t>
  </si>
  <si>
    <t>Siwan</t>
  </si>
  <si>
    <t>RegionID</t>
  </si>
  <si>
    <t>TotalBranch</t>
  </si>
  <si>
    <t>Report_send_BY_BM</t>
  </si>
  <si>
    <t>Report_send_BY_BM%</t>
  </si>
  <si>
    <t>No of Client DUE</t>
  </si>
  <si>
    <t>TOTAL_DUE</t>
  </si>
  <si>
    <t>No of Clent_Disbursed</t>
  </si>
  <si>
    <t>TOTAL_Disbursed</t>
  </si>
  <si>
    <t>Disbursed Client %</t>
  </si>
  <si>
    <t>Disbursed Amount %</t>
  </si>
  <si>
    <t>Ballia</t>
  </si>
  <si>
    <t>NEZ Today Branch Report Send BY BM Status Report</t>
  </si>
  <si>
    <t>BranchName</t>
  </si>
  <si>
    <t>Branchid</t>
  </si>
  <si>
    <t>Pending Report</t>
  </si>
  <si>
    <t>East Champaran</t>
  </si>
  <si>
    <t>RegionName</t>
  </si>
  <si>
    <t>NoofDue</t>
  </si>
  <si>
    <t>SIDBI Due AMT</t>
  </si>
  <si>
    <t>No of Disbursed</t>
  </si>
  <si>
    <t>SIDBI Disbursed AMT</t>
  </si>
  <si>
    <t>Client %</t>
  </si>
  <si>
    <t>Amt Doc %</t>
  </si>
  <si>
    <t>No of pending Doc</t>
  </si>
  <si>
    <t xml:space="preserve">Today SIDBI  Documentation Report </t>
  </si>
  <si>
    <t>HOT-NORTH EAST ZONE</t>
  </si>
  <si>
    <t>SAMASTIPUR</t>
  </si>
  <si>
    <t>BranchID</t>
  </si>
  <si>
    <t>CHid</t>
  </si>
  <si>
    <t>CHName</t>
  </si>
  <si>
    <t>NoOfClientsdue</t>
  </si>
  <si>
    <t>LoanamtDue</t>
  </si>
  <si>
    <t>NoOfClientsDisbursed</t>
  </si>
  <si>
    <t>LoanamtDisbursed</t>
  </si>
  <si>
    <t>NoOfArrear</t>
  </si>
  <si>
    <t>ArrearAmt</t>
  </si>
  <si>
    <t>PerALC</t>
  </si>
  <si>
    <t>PerAmt</t>
  </si>
  <si>
    <t>DayCloseRemark</t>
  </si>
  <si>
    <t>SIWAN</t>
  </si>
  <si>
    <t>SARAN</t>
  </si>
  <si>
    <t>22</t>
  </si>
  <si>
    <t>21</t>
  </si>
  <si>
    <t>35</t>
  </si>
  <si>
    <t>10</t>
  </si>
  <si>
    <t>31</t>
  </si>
  <si>
    <t>14</t>
  </si>
  <si>
    <t>ADO</t>
  </si>
  <si>
    <t>Total Pending</t>
  </si>
  <si>
    <t>No of BC_Clent_Disbursed</t>
  </si>
  <si>
    <t>TOTAL BC_Amount_Disbursed</t>
  </si>
  <si>
    <t>No of OWN_Clent_Disbursed</t>
  </si>
  <si>
    <t>TOTAL OWN_Amount_Disbursed</t>
  </si>
  <si>
    <t>DDO</t>
  </si>
  <si>
    <t>NULL</t>
  </si>
  <si>
    <t>zone</t>
  </si>
  <si>
    <t>Amount</t>
  </si>
  <si>
    <t>Total Proposal In BC</t>
  </si>
  <si>
    <t>Total Proposal In OWN</t>
  </si>
  <si>
    <t>Grand Total Own+BC</t>
  </si>
  <si>
    <t>Num Clients</t>
  </si>
  <si>
    <t>Zone OWN &amp; BC Proposal Detail</t>
  </si>
  <si>
    <t>G.Total</t>
  </si>
  <si>
    <t>ALC</t>
  </si>
  <si>
    <t>Regionname</t>
  </si>
  <si>
    <t>ACTIAMLUCDetail</t>
  </si>
  <si>
    <t>AmountClient</t>
  </si>
  <si>
    <t>AmountSpouse</t>
  </si>
  <si>
    <t>SitamarhiDarbhanga</t>
  </si>
  <si>
    <t>G Total</t>
  </si>
  <si>
    <t>Hospi Cash (Health Insurance) Detail Till Now</t>
  </si>
  <si>
    <t>HOT-North East Zone ACTIAM Loan Utilization Report</t>
  </si>
  <si>
    <t>Branchname</t>
  </si>
  <si>
    <t>DAMODARPUR</t>
  </si>
  <si>
    <t>KARJA</t>
  </si>
  <si>
    <t>MOTIPUR</t>
  </si>
  <si>
    <t>MURUAL</t>
  </si>
  <si>
    <t>SARFUDDINPUR</t>
  </si>
  <si>
    <t>PEAR</t>
  </si>
  <si>
    <t>KURHANI</t>
  </si>
  <si>
    <t>BOCHAHAN</t>
  </si>
  <si>
    <t>PHULWARIYA</t>
  </si>
  <si>
    <t>SAKARI SARAIYA</t>
  </si>
  <si>
    <t>MAHANTH MANIYARI</t>
  </si>
  <si>
    <t>JHAPAHA</t>
  </si>
  <si>
    <t>BELSAR</t>
  </si>
  <si>
    <t>RUNNISAIDPUR</t>
  </si>
  <si>
    <t>BARUARI</t>
  </si>
  <si>
    <t>HANUMAN NAGAR</t>
  </si>
  <si>
    <t>JALLE</t>
  </si>
  <si>
    <t>Muzaffarpur Hospicash Detail</t>
  </si>
  <si>
    <t>GORAUL</t>
  </si>
  <si>
    <t>HAYAGHAT</t>
  </si>
  <si>
    <t>MINAPUR</t>
  </si>
  <si>
    <t>PATEPUR</t>
  </si>
  <si>
    <t>BHARWADA</t>
  </si>
  <si>
    <t>Zone M Insure Collection Detail</t>
  </si>
  <si>
    <t>Handle By</t>
  </si>
  <si>
    <t>Total  From 01.10.2021 To Till Date</t>
  </si>
  <si>
    <t>By Cashpor</t>
  </si>
  <si>
    <t>By Self</t>
  </si>
  <si>
    <t>Grand Total Upto Till Date</t>
  </si>
  <si>
    <t>Total NO_ALC</t>
  </si>
  <si>
    <t>Total Proposal Entry In BC on Date 01.01.2022</t>
  </si>
  <si>
    <t>Total As on Dated 24.01.2022</t>
  </si>
  <si>
    <t>Grand Total As On 24.01.2022</t>
  </si>
  <si>
    <t>Total Proposal Entry In OWN on Date  24.01.2022</t>
  </si>
  <si>
    <t>Grand Total Own+BC on Dated  24.01.2022</t>
  </si>
  <si>
    <t>10:04</t>
  </si>
  <si>
    <t>SonePur</t>
  </si>
  <si>
    <t>StaffID</t>
  </si>
  <si>
    <t>StaffName</t>
  </si>
  <si>
    <t>StaffNameLocal</t>
  </si>
  <si>
    <t>ExitDate</t>
  </si>
  <si>
    <t>EntryBy</t>
  </si>
  <si>
    <t>DateStamp</t>
  </si>
  <si>
    <t>StatusAct</t>
  </si>
  <si>
    <t>FS_Type</t>
  </si>
  <si>
    <t>TelePhone</t>
  </si>
  <si>
    <t>Code</t>
  </si>
  <si>
    <t>TerminalID</t>
  </si>
  <si>
    <t>HRUpdationDate</t>
  </si>
  <si>
    <t>OwnPortfolioinLastMonth</t>
  </si>
  <si>
    <t>OwnALCinLastMonth</t>
  </si>
  <si>
    <t>BCPortfolioinLastMonth</t>
  </si>
  <si>
    <t>BCALCinLastMonth</t>
  </si>
  <si>
    <t>FlexiPortfolioinLastMonth</t>
  </si>
  <si>
    <t>FlexiALCinLastMonth</t>
  </si>
  <si>
    <t>SavingClientinLastMonth</t>
  </si>
  <si>
    <t>PensionclientinLastMonth</t>
  </si>
  <si>
    <t>NonIGLPortfolioLastMonth</t>
  </si>
  <si>
    <t>NonIGLALCLastMonth</t>
  </si>
  <si>
    <t>LoanClientsLastFiscal</t>
  </si>
  <si>
    <t>OutstandingLastFiscal</t>
  </si>
  <si>
    <t>PortfolioFTM</t>
  </si>
  <si>
    <t>LoanClientsFTM</t>
  </si>
  <si>
    <t>PARTargetfortheMonth</t>
  </si>
  <si>
    <t>Aadharno</t>
  </si>
  <si>
    <t>Bankname</t>
  </si>
  <si>
    <t>Imeinumber</t>
  </si>
  <si>
    <t>Mobilenumber</t>
  </si>
  <si>
    <t>StaffMappedWith</t>
  </si>
  <si>
    <t>appversion</t>
  </si>
  <si>
    <t>staffappversion</t>
  </si>
  <si>
    <t>Partarget</t>
  </si>
  <si>
    <t>Sangeeta</t>
  </si>
  <si>
    <t>a</t>
  </si>
  <si>
    <t>133eec7a-4dfc-40b4-b2ce-b25116c5af3a</t>
  </si>
  <si>
    <t>Poonam Kumari</t>
  </si>
  <si>
    <t>5558d0b9-8f16-4e6d-b729-0248e40240f0</t>
  </si>
  <si>
    <t>Jitendra Bahadur Singh</t>
  </si>
  <si>
    <t>88c2802d-baa0-47aa-b383-a22ab28afd24</t>
  </si>
  <si>
    <t>SAILESH YADAV</t>
  </si>
  <si>
    <t>Raj Kumar Bharati</t>
  </si>
  <si>
    <t>be3bd20b-9ba6-45dc-b0a2-dd3b708d7776</t>
  </si>
  <si>
    <t>RAJESH KUMAR</t>
  </si>
  <si>
    <t>RAJESH</t>
  </si>
  <si>
    <t>Enu Giri</t>
  </si>
  <si>
    <t>4ef3532b-c572-4159-94bc-70f4c83a9d1d</t>
  </si>
  <si>
    <t>Jagdish Maurya</t>
  </si>
  <si>
    <t>Uday prakash Verma</t>
  </si>
  <si>
    <t>Mohan Lal</t>
  </si>
  <si>
    <t>8ac401b8-157f-40eb-9607-d31cef822c5e</t>
  </si>
  <si>
    <t>Suny Deol</t>
  </si>
  <si>
    <t>9a476d95-b458-4a9e-aa52-e6b8b0cd949d</t>
  </si>
  <si>
    <t>Ms Anshumala kumari</t>
  </si>
  <si>
    <t>Ms  Fatma Khatun</t>
  </si>
  <si>
    <t>Ms. Fatma Khatun</t>
  </si>
  <si>
    <t>43c639af-8987-4ac0-8be2-145d13f4ba3a</t>
  </si>
  <si>
    <t>Bajrang Kumar</t>
  </si>
  <si>
    <t>s</t>
  </si>
  <si>
    <t>Ms  Pooja</t>
  </si>
  <si>
    <t>Ms. Pooja</t>
  </si>
  <si>
    <t>Ram Prakash Yadav</t>
  </si>
  <si>
    <t>dbed01b9-3f8d-499c-b7ca-27fcc4caaa9e</t>
  </si>
  <si>
    <t>Ruchee Kharwar</t>
  </si>
  <si>
    <t>Mithilesh Sharma</t>
  </si>
  <si>
    <t>Akhilesh Kr Gupta</t>
  </si>
  <si>
    <t>aS nm</t>
  </si>
  <si>
    <t>Ram Parvesh</t>
  </si>
  <si>
    <t>htdfhb</t>
  </si>
  <si>
    <t>e2424691-0cac-4d67-a6fe-e66d5323637b</t>
  </si>
  <si>
    <t>Ravi Ranjan Kumar Pandey</t>
  </si>
  <si>
    <t>Pramod Kumar</t>
  </si>
  <si>
    <t>Sharda Kumari</t>
  </si>
  <si>
    <t>a46353b1-f8d1-43b2-90b1-fac9f8070f6b</t>
  </si>
  <si>
    <t>Neeraj Narayan</t>
  </si>
  <si>
    <t>Sinha</t>
  </si>
  <si>
    <t>Punam Devi</t>
  </si>
  <si>
    <t>iwwuedqekjh</t>
  </si>
  <si>
    <t>Yasmin Bano</t>
  </si>
  <si>
    <t>yyyyy</t>
  </si>
  <si>
    <t>8b512e2f-ab66-4f15-972f-91d25bee4c20</t>
  </si>
  <si>
    <t>Ms. Suman Kumari</t>
  </si>
  <si>
    <t>Satyendra Prasad</t>
  </si>
  <si>
    <t>Mr  Anjan Kumar Singh</t>
  </si>
  <si>
    <t>Mr. Anjan Kumar Singh</t>
  </si>
  <si>
    <t>ORIENTAL BANK OF COMMERCE</t>
  </si>
  <si>
    <t>Manoj Kumar Madhesiya</t>
  </si>
  <si>
    <t>Mr. Sandeep Kumar Jaiswal</t>
  </si>
  <si>
    <t>9592f8b8-aff3-42ff-9508-fda60afafe7c</t>
  </si>
  <si>
    <t>Sunil Kumar Singh</t>
  </si>
  <si>
    <t>DEEPAK KUMAR</t>
  </si>
  <si>
    <t>A</t>
  </si>
  <si>
    <t>Mohan Ray</t>
  </si>
  <si>
    <t>5ed03f3f-3efd-4a3f-a050-cbd8897dadb8</t>
  </si>
  <si>
    <t xml:space="preserve">Mr  Sachindra </t>
  </si>
  <si>
    <t xml:space="preserve">Mr. Sachindra </t>
  </si>
  <si>
    <t>Taraiya</t>
  </si>
  <si>
    <t>10:11</t>
  </si>
  <si>
    <t>10:13</t>
  </si>
  <si>
    <t>10:03</t>
  </si>
  <si>
    <t>Bairia</t>
  </si>
  <si>
    <t>10:21</t>
  </si>
  <si>
    <t>Sahatwar</t>
  </si>
  <si>
    <t>10:23</t>
  </si>
  <si>
    <t>UJIYARPUR</t>
  </si>
  <si>
    <t>BACHWADA</t>
  </si>
  <si>
    <t>BAHERI</t>
  </si>
  <si>
    <t>35:02</t>
  </si>
  <si>
    <t>35:08</t>
  </si>
  <si>
    <t>35:13</t>
  </si>
  <si>
    <t>U-3(Essuapur)</t>
  </si>
  <si>
    <t>U-4(Maker)</t>
  </si>
  <si>
    <t>14:12</t>
  </si>
  <si>
    <t>Ander</t>
  </si>
  <si>
    <t>14:14</t>
  </si>
  <si>
    <t>Jamo</t>
  </si>
  <si>
    <t>14:15</t>
  </si>
  <si>
    <t>Duroundha</t>
  </si>
  <si>
    <t>14:19</t>
  </si>
  <si>
    <t>Ekma</t>
  </si>
  <si>
    <t>14:20</t>
  </si>
  <si>
    <t xml:space="preserve">Bhatani </t>
  </si>
  <si>
    <t>14:21</t>
  </si>
  <si>
    <t>Salempur</t>
  </si>
  <si>
    <t>14:22</t>
  </si>
  <si>
    <t xml:space="preserve"> Bhatpar </t>
  </si>
  <si>
    <t>14:27</t>
  </si>
  <si>
    <t>Majha</t>
  </si>
  <si>
    <t>14:28</t>
  </si>
  <si>
    <t>Haziyapur</t>
  </si>
  <si>
    <t>14:29</t>
  </si>
  <si>
    <t>Thawe</t>
  </si>
  <si>
    <t>10:02</t>
  </si>
  <si>
    <t>JalalPur</t>
  </si>
  <si>
    <t>10:07</t>
  </si>
  <si>
    <t>Panapur</t>
  </si>
  <si>
    <t>10:26</t>
  </si>
  <si>
    <t>RivilGanj</t>
  </si>
  <si>
    <t>10:06</t>
  </si>
  <si>
    <t>10:01</t>
  </si>
  <si>
    <t>10:22</t>
  </si>
  <si>
    <t>14:23</t>
  </si>
  <si>
    <t>Vijaipur</t>
  </si>
  <si>
    <t>14:25</t>
  </si>
  <si>
    <t>Hathuwa</t>
  </si>
  <si>
    <t>14:24</t>
  </si>
  <si>
    <t>MaharajGanj</t>
  </si>
  <si>
    <t>14:07</t>
  </si>
  <si>
    <t>Hayaghat</t>
  </si>
  <si>
    <t>21:27</t>
  </si>
  <si>
    <t>Hanuman Nagar</t>
  </si>
  <si>
    <t>21:25</t>
  </si>
  <si>
    <t>Sakari Saraiya</t>
  </si>
  <si>
    <t>21:16</t>
  </si>
  <si>
    <t>Kurhani</t>
  </si>
  <si>
    <t>21:11</t>
  </si>
  <si>
    <t>Goraul</t>
  </si>
  <si>
    <t>21:18</t>
  </si>
  <si>
    <t>Dewariya</t>
  </si>
  <si>
    <t>21:14</t>
  </si>
  <si>
    <t>Bochahan</t>
  </si>
  <si>
    <t>21:12</t>
  </si>
  <si>
    <t>Baruari</t>
  </si>
  <si>
    <t>21:23</t>
  </si>
  <si>
    <t>Sarfuddinpur</t>
  </si>
  <si>
    <t>21:08</t>
  </si>
  <si>
    <t>Jalle</t>
  </si>
  <si>
    <t>21:28</t>
  </si>
  <si>
    <t>Bharwada</t>
  </si>
  <si>
    <t>21:26</t>
  </si>
  <si>
    <t>RamNagar</t>
  </si>
  <si>
    <t>22:33</t>
  </si>
  <si>
    <t>Jagdishpur</t>
  </si>
  <si>
    <t>22:20</t>
  </si>
  <si>
    <t>Barauli</t>
  </si>
  <si>
    <t>22:35</t>
  </si>
  <si>
    <t>Mehasi</t>
  </si>
  <si>
    <t>22:22</t>
  </si>
  <si>
    <t>Pakadi Dayal</t>
  </si>
  <si>
    <t>22:31</t>
  </si>
  <si>
    <t>TAJPUR</t>
  </si>
  <si>
    <t>35:01</t>
  </si>
  <si>
    <t>VIDUPUR</t>
  </si>
  <si>
    <t>35:18</t>
  </si>
  <si>
    <t>KALYANPUR</t>
  </si>
  <si>
    <t>35:10</t>
  </si>
  <si>
    <t>KHANPUR</t>
  </si>
  <si>
    <t>35:12</t>
  </si>
  <si>
    <t>SHIVAJI NAGAR</t>
  </si>
  <si>
    <t>35:04</t>
  </si>
  <si>
    <t>DALSINGH SARAI</t>
  </si>
  <si>
    <t>35:09</t>
  </si>
  <si>
    <t>BARAUNI</t>
  </si>
  <si>
    <t>35:06</t>
  </si>
  <si>
    <t>SARAI RANJAN</t>
  </si>
  <si>
    <t>35:03</t>
  </si>
  <si>
    <t>VIDYAPATTI NAGAR</t>
  </si>
  <si>
    <t>35:11</t>
  </si>
  <si>
    <t>U-1(Manjhi)</t>
  </si>
  <si>
    <t>U-2(Bheldi)</t>
  </si>
  <si>
    <t>Rewati</t>
  </si>
  <si>
    <t xml:space="preserve"> Lar Town</t>
  </si>
  <si>
    <t>Paroo</t>
  </si>
  <si>
    <t>10:25</t>
  </si>
  <si>
    <t>10:14</t>
  </si>
  <si>
    <t>DoriGanj</t>
  </si>
  <si>
    <t>10:15</t>
  </si>
  <si>
    <t>Parsa</t>
  </si>
  <si>
    <t>10:12</t>
  </si>
  <si>
    <t>Dighawada</t>
  </si>
  <si>
    <t>10:16</t>
  </si>
  <si>
    <t>Pateda</t>
  </si>
  <si>
    <t>10:17</t>
  </si>
  <si>
    <t>Masarkh</t>
  </si>
  <si>
    <t>10:09</t>
  </si>
  <si>
    <t>Sadar</t>
  </si>
  <si>
    <t>DayClosePending</t>
  </si>
  <si>
    <t>DayClose</t>
  </si>
  <si>
    <t>Damodarpur</t>
  </si>
  <si>
    <t>21:01</t>
  </si>
  <si>
    <t>0729</t>
  </si>
  <si>
    <t xml:space="preserve">Mr  Kamlesh Kumar Singh </t>
  </si>
  <si>
    <t>Karja</t>
  </si>
  <si>
    <t>21:02</t>
  </si>
  <si>
    <t>Belsar</t>
  </si>
  <si>
    <t>21:21</t>
  </si>
  <si>
    <t>Murual</t>
  </si>
  <si>
    <t>21:07</t>
  </si>
  <si>
    <t>4299</t>
  </si>
  <si>
    <t xml:space="preserve">Mr Dharmatma Kumar Manjhi </t>
  </si>
  <si>
    <t>Mahanth Maniyari</t>
  </si>
  <si>
    <t>21:17</t>
  </si>
  <si>
    <t>Pear</t>
  </si>
  <si>
    <t>21:09</t>
  </si>
  <si>
    <t>Patepur</t>
  </si>
  <si>
    <t>21:20</t>
  </si>
  <si>
    <t>Jhapaha</t>
  </si>
  <si>
    <t>21:19</t>
  </si>
  <si>
    <t>4724</t>
  </si>
  <si>
    <t xml:space="preserve">Mr Subhash Chandra Gupta </t>
  </si>
  <si>
    <t>Phulwariya</t>
  </si>
  <si>
    <t>21:13</t>
  </si>
  <si>
    <t>Runnisaidpur</t>
  </si>
  <si>
    <t>21:22</t>
  </si>
  <si>
    <t>Motipur</t>
  </si>
  <si>
    <t>21:06</t>
  </si>
  <si>
    <t>Minapur</t>
  </si>
  <si>
    <t>21:10</t>
  </si>
  <si>
    <t>5999</t>
  </si>
  <si>
    <t>Sunil kumar Pandey</t>
  </si>
  <si>
    <t>Bhusara</t>
  </si>
  <si>
    <t>21:15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</si>
</sst>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FF0000"/>
      <name val="Segoe UI"/>
      <family val="2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0" xfId="0" applyAlignment="1">
      <alignment wrapText="1"/>
    </xf>
    <xf numFmtId="49" fontId="0" fillId="0" borderId="0" xfId="0" applyNumberFormat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2" fontId="1" fillId="2" borderId="4" xfId="0" applyNumberFormat="1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3" fillId="0" borderId="0" xfId="0" applyFont="1"/>
    <xf numFmtId="1" fontId="0" fillId="0" borderId="0" xfId="0" applyNumberFormat="1"/>
    <xf numFmtId="0" fontId="1" fillId="2" borderId="6" xfId="0" applyFont="1" applyFill="1" applyBorder="1"/>
    <xf numFmtId="0" fontId="1" fillId="2" borderId="5" xfId="0" applyFont="1" applyFill="1" applyBorder="1"/>
    <xf numFmtId="0" fontId="1" fillId="3" borderId="1" xfId="0" applyFont="1" applyFill="1" applyBorder="1" applyAlignment="1">
      <alignment wrapText="1"/>
    </xf>
    <xf numFmtId="2" fontId="1" fillId="2" borderId="1" xfId="0" applyNumberFormat="1" applyFont="1" applyFill="1" applyBorder="1"/>
    <xf numFmtId="0" fontId="5" fillId="0" borderId="1" xfId="0" applyFont="1" applyBorder="1"/>
    <xf numFmtId="0" fontId="5" fillId="0" borderId="2" xfId="0" applyFont="1" applyBorder="1"/>
    <xf numFmtId="0" fontId="1" fillId="0" borderId="0" xfId="0" applyFont="1" applyAlignment="1">
      <alignment textRotation="45"/>
    </xf>
    <xf numFmtId="0" fontId="1" fillId="0" borderId="0" xfId="0" applyFont="1"/>
    <xf numFmtId="0" fontId="1" fillId="0" borderId="1" xfId="0" applyFont="1" applyBorder="1" applyAlignment="1">
      <alignment wrapText="1"/>
    </xf>
    <xf numFmtId="0" fontId="1" fillId="0" borderId="1" xfId="0" applyFont="1" applyBorder="1"/>
    <xf numFmtId="49" fontId="5" fillId="0" borderId="1" xfId="0" applyNumberFormat="1" applyFont="1" applyBorder="1"/>
    <xf numFmtId="0" fontId="6" fillId="4" borderId="1" xfId="0" applyFont="1" applyFill="1" applyBorder="1"/>
    <xf numFmtId="2" fontId="6" fillId="4" borderId="1" xfId="0" applyNumberFormat="1" applyFont="1" applyFill="1" applyBorder="1"/>
    <xf numFmtId="0" fontId="5" fillId="0" borderId="6" xfId="0" applyFont="1" applyBorder="1"/>
    <xf numFmtId="49" fontId="5" fillId="0" borderId="4" xfId="0" applyNumberFormat="1" applyFont="1" applyBorder="1"/>
    <xf numFmtId="0" fontId="6" fillId="3" borderId="4" xfId="0" applyFont="1" applyFill="1" applyBorder="1"/>
    <xf numFmtId="0" fontId="6" fillId="2" borderId="2" xfId="0" applyFont="1" applyFill="1" applyBorder="1" applyAlignment="1">
      <alignment wrapText="1"/>
    </xf>
    <xf numFmtId="49" fontId="6" fillId="2" borderId="1" xfId="0" applyNumberFormat="1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6" fillId="2" borderId="3" xfId="0" applyFont="1" applyFill="1" applyBorder="1" applyAlignment="1">
      <alignment wrapText="1"/>
    </xf>
    <xf numFmtId="2" fontId="6" fillId="3" borderId="4" xfId="0" applyNumberFormat="1" applyFont="1" applyFill="1" applyBorder="1"/>
    <xf numFmtId="0" fontId="6" fillId="2" borderId="1" xfId="0" applyFont="1" applyFill="1" applyBorder="1"/>
    <xf numFmtId="2" fontId="5" fillId="0" borderId="3" xfId="0" applyNumberFormat="1" applyFont="1" applyBorder="1"/>
    <xf numFmtId="2" fontId="5" fillId="0" borderId="1" xfId="0" applyNumberFormat="1" applyFont="1" applyBorder="1"/>
    <xf numFmtId="0" fontId="1" fillId="3" borderId="1" xfId="0" applyFont="1" applyFill="1" applyBorder="1"/>
    <xf numFmtId="0" fontId="1" fillId="3" borderId="2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0" fillId="0" borderId="6" xfId="0" applyBorder="1"/>
    <xf numFmtId="20" fontId="0" fillId="0" borderId="1" xfId="0" applyNumberFormat="1" applyBorder="1"/>
    <xf numFmtId="0" fontId="1" fillId="4" borderId="16" xfId="0" applyFont="1" applyFill="1" applyBorder="1"/>
    <xf numFmtId="0" fontId="7" fillId="2" borderId="1" xfId="0" applyFont="1" applyFill="1" applyBorder="1"/>
    <xf numFmtId="0" fontId="1" fillId="3" borderId="16" xfId="0" applyFont="1" applyFill="1" applyBorder="1"/>
    <xf numFmtId="0" fontId="7" fillId="3" borderId="1" xfId="0" applyFont="1" applyFill="1" applyBorder="1"/>
    <xf numFmtId="0" fontId="7" fillId="4" borderId="1" xfId="0" applyFont="1" applyFill="1" applyBorder="1"/>
    <xf numFmtId="0" fontId="1" fillId="4" borderId="1" xfId="0" applyFont="1" applyFill="1" applyBorder="1"/>
    <xf numFmtId="0" fontId="0" fillId="0" borderId="17" xfId="0" applyBorder="1"/>
    <xf numFmtId="0" fontId="7" fillId="4" borderId="2" xfId="0" applyFont="1" applyFill="1" applyBorder="1"/>
    <xf numFmtId="0" fontId="1" fillId="3" borderId="2" xfId="0" applyFont="1" applyFill="1" applyBorder="1"/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4" fillId="5" borderId="18" xfId="0" applyFont="1" applyFill="1" applyBorder="1" applyAlignment="1">
      <alignment horizontal="center" textRotation="45"/>
    </xf>
    <xf numFmtId="0" fontId="0" fillId="0" borderId="19" xfId="0" applyBorder="1"/>
    <xf numFmtId="0" fontId="4" fillId="5" borderId="0" xfId="0" applyFont="1" applyFill="1" applyAlignment="1">
      <alignment horizontal="center" textRotation="45"/>
    </xf>
    <xf numFmtId="0" fontId="7" fillId="3" borderId="4" xfId="0" applyFont="1" applyFill="1" applyBorder="1"/>
    <xf numFmtId="0" fontId="1" fillId="3" borderId="4" xfId="0" applyFont="1" applyFill="1" applyBorder="1"/>
    <xf numFmtId="0" fontId="1" fillId="3" borderId="1" xfId="0" applyFont="1" applyFill="1" applyBorder="1" applyAlignment="1">
      <alignment horizontal="center" wrapText="1"/>
    </xf>
    <xf numFmtId="20" fontId="1" fillId="3" borderId="1" xfId="0" applyNumberFormat="1" applyFont="1" applyFill="1" applyBorder="1" applyAlignment="1">
      <alignment horizontal="center" wrapText="1"/>
    </xf>
    <xf numFmtId="49" fontId="1" fillId="3" borderId="1" xfId="0" applyNumberFormat="1" applyFont="1" applyFill="1" applyBorder="1" applyAlignment="1">
      <alignment horizontal="center" wrapText="1"/>
    </xf>
    <xf numFmtId="22" fontId="0" fillId="0" borderId="0" xfId="0" applyNumberFormat="1"/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/>
    <xf numFmtId="2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20" fontId="1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textRotation="45"/>
    </xf>
    <xf numFmtId="0" fontId="1" fillId="3" borderId="21" xfId="0" applyFont="1" applyFill="1" applyBorder="1" applyAlignment="1">
      <alignment horizontal="center" textRotation="45"/>
    </xf>
    <xf numFmtId="0" fontId="1" fillId="3" borderId="22" xfId="0" applyFont="1" applyFill="1" applyBorder="1" applyAlignment="1">
      <alignment horizontal="center" textRotation="45"/>
    </xf>
    <xf numFmtId="0" fontId="1" fillId="4" borderId="11" xfId="0" applyFont="1" applyFill="1" applyBorder="1" applyAlignment="1">
      <alignment horizontal="center" textRotation="45"/>
    </xf>
    <xf numFmtId="0" fontId="1" fillId="4" borderId="12" xfId="0" applyFont="1" applyFill="1" applyBorder="1" applyAlignment="1">
      <alignment horizontal="center" textRotation="45"/>
    </xf>
    <xf numFmtId="0" fontId="1" fillId="4" borderId="10" xfId="0" applyFont="1" applyFill="1" applyBorder="1" applyAlignment="1">
      <alignment horizontal="center" textRotation="45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49" fontId="1" fillId="2" borderId="23" xfId="0" applyNumberFormat="1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textRotation="45"/>
    </xf>
    <xf numFmtId="0" fontId="2" fillId="3" borderId="13" xfId="0" applyFont="1" applyFill="1" applyBorder="1" applyAlignment="1">
      <alignment horizontal="center" wrapText="1"/>
    </xf>
    <xf numFmtId="0" fontId="2" fillId="3" borderId="14" xfId="0" applyFont="1" applyFill="1" applyBorder="1" applyAlignment="1">
      <alignment horizontal="center" wrapText="1"/>
    </xf>
    <xf numFmtId="0" fontId="7" fillId="4" borderId="14" xfId="0" applyFont="1" applyFill="1" applyBorder="1" applyAlignment="1">
      <alignment horizontal="center" wrapText="1"/>
    </xf>
    <xf numFmtId="0" fontId="7" fillId="4" borderId="15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0" fontId="8" fillId="5" borderId="18" xfId="0" applyFont="1" applyFill="1" applyBorder="1" applyAlignment="1">
      <alignment horizontal="center" textRotation="45"/>
    </xf>
    <xf numFmtId="0" fontId="7" fillId="2" borderId="1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center" wrapText="1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72"/>
  <sheetViews>
    <sheetView zoomScale="85" zoomScaleNormal="85" workbookViewId="0">
      <selection activeCell="D15" sqref="D15"/>
    </sheetView>
  </sheetViews>
  <sheetFormatPr defaultRowHeight="15" x14ac:dyDescent="0.25"/>
  <cols>
    <col min="2" max="2" width="17.140625" customWidth="1"/>
    <col min="3" max="3" width="5" style="4" customWidth="1"/>
    <col min="4" max="4" width="21" bestFit="1" customWidth="1"/>
    <col min="5" max="5" width="7.140625" customWidth="1"/>
    <col min="6" max="6" width="9.28515625" customWidth="1"/>
    <col min="7" max="7" width="11.140625" customWidth="1"/>
    <col min="8" max="8" width="9" customWidth="1"/>
    <col min="9" max="9" width="11.42578125" customWidth="1"/>
    <col min="10" max="10" width="13.7109375" customWidth="1"/>
    <col min="11" max="11" width="9.42578125" customWidth="1"/>
    <col min="12" max="12" width="9.85546875" customWidth="1"/>
    <col min="13" max="13" width="11.42578125" customWidth="1"/>
    <col min="14" max="14" width="10.140625" customWidth="1"/>
    <col min="15" max="15" width="13.140625" customWidth="1"/>
    <col min="16" max="16" width="8.7109375" customWidth="1"/>
  </cols>
  <sheetData>
    <row r="2" spans="1:17" ht="15.75" thickBot="1" x14ac:dyDescent="0.3"/>
    <row r="3" spans="1:17" ht="24.75" customHeight="1" x14ac:dyDescent="0.35">
      <c r="B3" s="85" t="s">
        <v>21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7"/>
    </row>
    <row r="4" spans="1:17" s="3" customFormat="1" ht="43.5" customHeight="1" thickBot="1" x14ac:dyDescent="0.3">
      <c r="B4" s="29" t="s">
        <v>1</v>
      </c>
      <c r="C4" s="30" t="s">
        <v>10</v>
      </c>
      <c r="D4" s="31" t="s">
        <v>2</v>
      </c>
      <c r="E4" s="31" t="s">
        <v>11</v>
      </c>
      <c r="F4" s="31" t="s">
        <v>12</v>
      </c>
      <c r="G4" s="31" t="s">
        <v>13</v>
      </c>
      <c r="H4" s="31" t="s">
        <v>14</v>
      </c>
      <c r="I4" s="31" t="s">
        <v>15</v>
      </c>
      <c r="J4" s="31" t="s">
        <v>16</v>
      </c>
      <c r="K4" s="31" t="s">
        <v>17</v>
      </c>
      <c r="L4" s="31" t="s">
        <v>59</v>
      </c>
      <c r="M4" s="31" t="s">
        <v>60</v>
      </c>
      <c r="N4" s="31" t="s">
        <v>61</v>
      </c>
      <c r="O4" s="31" t="s">
        <v>62</v>
      </c>
      <c r="P4" s="31" t="s">
        <v>18</v>
      </c>
      <c r="Q4" s="32" t="s">
        <v>19</v>
      </c>
    </row>
    <row r="5" spans="1:17" ht="15" hidden="1" customHeight="1" x14ac:dyDescent="0.25">
      <c r="A5" s="79" t="s">
        <v>57</v>
      </c>
      <c r="B5" s="18" t="s">
        <v>0</v>
      </c>
      <c r="C5" s="23" t="s">
        <v>52</v>
      </c>
      <c r="D5" s="17" t="s">
        <v>4</v>
      </c>
      <c r="E5" s="17">
        <v>24</v>
      </c>
      <c r="F5" s="34">
        <v>0</v>
      </c>
      <c r="G5" s="17">
        <v>0</v>
      </c>
      <c r="H5" s="17">
        <v>433</v>
      </c>
      <c r="I5" s="17">
        <v>15636000</v>
      </c>
      <c r="J5" s="17">
        <v>175</v>
      </c>
      <c r="K5" s="17">
        <v>6360000</v>
      </c>
      <c r="L5" s="17">
        <v>8</v>
      </c>
      <c r="M5" s="17">
        <v>590000</v>
      </c>
      <c r="N5" s="17">
        <v>167</v>
      </c>
      <c r="O5" s="17">
        <v>5770000</v>
      </c>
      <c r="P5" s="36">
        <v>40</v>
      </c>
      <c r="Q5" s="35">
        <v>40.675364543359997</v>
      </c>
    </row>
    <row r="6" spans="1:17" ht="15" hidden="1" customHeight="1" x14ac:dyDescent="0.25">
      <c r="A6" s="80"/>
      <c r="B6" s="18" t="s">
        <v>0</v>
      </c>
      <c r="C6" s="23" t="s">
        <v>55</v>
      </c>
      <c r="D6" s="17" t="s">
        <v>5</v>
      </c>
      <c r="E6" s="17">
        <v>24</v>
      </c>
      <c r="F6" s="34">
        <v>0</v>
      </c>
      <c r="G6" s="17">
        <v>0</v>
      </c>
      <c r="H6" s="17">
        <v>406</v>
      </c>
      <c r="I6" s="17">
        <v>13254000</v>
      </c>
      <c r="J6" s="17">
        <v>143</v>
      </c>
      <c r="K6" s="17">
        <v>4796000</v>
      </c>
      <c r="L6" s="17">
        <v>0</v>
      </c>
      <c r="M6" s="17" t="s">
        <v>64</v>
      </c>
      <c r="N6" s="17">
        <v>143</v>
      </c>
      <c r="O6" s="17">
        <v>4796000</v>
      </c>
      <c r="P6" s="36">
        <v>35</v>
      </c>
      <c r="Q6" s="35">
        <v>36.18530255017</v>
      </c>
    </row>
    <row r="7" spans="1:17" ht="15.75" hidden="1" customHeight="1" thickBot="1" x14ac:dyDescent="0.3">
      <c r="A7" s="81"/>
      <c r="B7" s="18" t="s">
        <v>35</v>
      </c>
      <c r="C7" s="23" t="s">
        <v>53</v>
      </c>
      <c r="D7" s="17" t="s">
        <v>36</v>
      </c>
      <c r="E7" s="17">
        <v>18</v>
      </c>
      <c r="F7" s="34">
        <v>0</v>
      </c>
      <c r="G7" s="17">
        <v>0</v>
      </c>
      <c r="H7" s="17">
        <v>215</v>
      </c>
      <c r="I7" s="17">
        <v>6028000</v>
      </c>
      <c r="J7" s="17">
        <v>60</v>
      </c>
      <c r="K7" s="17">
        <v>1825000</v>
      </c>
      <c r="L7" s="17">
        <v>0</v>
      </c>
      <c r="M7" s="17" t="s">
        <v>64</v>
      </c>
      <c r="N7" s="17">
        <v>60</v>
      </c>
      <c r="O7" s="17">
        <v>1825000</v>
      </c>
      <c r="P7" s="36">
        <v>27</v>
      </c>
      <c r="Q7" s="35">
        <v>30.275381552750002</v>
      </c>
    </row>
    <row r="8" spans="1:17" ht="15.75" hidden="1" customHeight="1" x14ac:dyDescent="0.25">
      <c r="A8" s="19"/>
      <c r="B8" s="18"/>
      <c r="C8" s="23"/>
      <c r="D8" s="24" t="s">
        <v>6</v>
      </c>
      <c r="E8" s="24">
        <v>0</v>
      </c>
      <c r="F8" s="24">
        <f>SUM(F5:F7)</f>
        <v>0</v>
      </c>
      <c r="G8" s="24">
        <v>0</v>
      </c>
      <c r="H8" s="24">
        <v>0</v>
      </c>
      <c r="I8" s="24">
        <v>0</v>
      </c>
      <c r="J8" s="24">
        <v>0</v>
      </c>
      <c r="K8" s="24">
        <v>0</v>
      </c>
      <c r="L8" s="24">
        <v>0</v>
      </c>
      <c r="M8" s="24">
        <v>0</v>
      </c>
      <c r="N8" s="24">
        <v>0</v>
      </c>
      <c r="O8" s="24">
        <v>0</v>
      </c>
      <c r="P8" s="25" t="e">
        <f>+(N8+L8)/H8*100</f>
        <v>#DIV/0!</v>
      </c>
      <c r="Q8" s="25" t="e">
        <f>+(O8+M8)/I8*100</f>
        <v>#DIV/0!</v>
      </c>
    </row>
    <row r="9" spans="1:17" ht="15.75" hidden="1" customHeight="1" thickBot="1" x14ac:dyDescent="0.3">
      <c r="A9" s="19"/>
      <c r="B9" s="18"/>
      <c r="C9" s="23"/>
      <c r="D9" s="24"/>
      <c r="E9" s="24"/>
      <c r="F9" s="24">
        <f>+E8-F8</f>
        <v>0</v>
      </c>
      <c r="G9" s="24"/>
      <c r="H9" s="24"/>
      <c r="I9" s="24"/>
      <c r="J9" s="24"/>
      <c r="K9" s="24"/>
      <c r="L9" s="25"/>
      <c r="M9" s="25"/>
      <c r="N9" s="25"/>
      <c r="O9" s="25"/>
      <c r="P9" s="25"/>
      <c r="Q9" s="25"/>
    </row>
    <row r="10" spans="1:17" ht="15.75" customHeight="1" x14ac:dyDescent="0.25">
      <c r="A10" s="76" t="s">
        <v>63</v>
      </c>
      <c r="B10" s="18" t="s">
        <v>0</v>
      </c>
      <c r="C10" s="23" t="s">
        <v>54</v>
      </c>
      <c r="D10" s="17" t="s">
        <v>50</v>
      </c>
      <c r="E10" s="17">
        <v>24</v>
      </c>
      <c r="F10" s="34">
        <v>0</v>
      </c>
      <c r="G10" s="17">
        <v>0</v>
      </c>
      <c r="H10" s="17">
        <v>882</v>
      </c>
      <c r="I10" s="17">
        <v>31433000</v>
      </c>
      <c r="J10" s="17">
        <v>31</v>
      </c>
      <c r="K10" s="17">
        <v>1455000</v>
      </c>
      <c r="L10" s="17">
        <v>7</v>
      </c>
      <c r="M10" s="17">
        <v>620000</v>
      </c>
      <c r="N10" s="17">
        <v>24</v>
      </c>
      <c r="O10" s="17">
        <v>835000</v>
      </c>
      <c r="P10" s="36">
        <v>3</v>
      </c>
      <c r="Q10" s="35">
        <v>4.6288932014100004</v>
      </c>
    </row>
    <row r="11" spans="1:17" ht="15.75" customHeight="1" x14ac:dyDescent="0.25">
      <c r="A11" s="77"/>
      <c r="B11" s="18" t="s">
        <v>0</v>
      </c>
      <c r="C11" s="23" t="s">
        <v>56</v>
      </c>
      <c r="D11" s="17" t="s">
        <v>49</v>
      </c>
      <c r="E11" s="17">
        <v>24</v>
      </c>
      <c r="F11" s="34">
        <v>0</v>
      </c>
      <c r="G11" s="17">
        <v>0</v>
      </c>
      <c r="H11" s="17">
        <v>490</v>
      </c>
      <c r="I11" s="17">
        <v>16629000</v>
      </c>
      <c r="J11" s="17">
        <v>42</v>
      </c>
      <c r="K11" s="17">
        <v>1427000</v>
      </c>
      <c r="L11" s="17">
        <v>5</v>
      </c>
      <c r="M11" s="17">
        <v>280000</v>
      </c>
      <c r="N11" s="17">
        <v>37</v>
      </c>
      <c r="O11" s="17">
        <v>1147000</v>
      </c>
      <c r="P11" s="36">
        <v>8</v>
      </c>
      <c r="Q11" s="35">
        <v>8.5813939503200007</v>
      </c>
    </row>
    <row r="12" spans="1:17" x14ac:dyDescent="0.25">
      <c r="A12" s="77"/>
      <c r="B12" s="18" t="s">
        <v>0</v>
      </c>
      <c r="C12" s="23" t="s">
        <v>51</v>
      </c>
      <c r="D12" s="17" t="s">
        <v>3</v>
      </c>
      <c r="E12" s="17">
        <v>24</v>
      </c>
      <c r="F12" s="34">
        <v>0</v>
      </c>
      <c r="G12" s="17">
        <v>0</v>
      </c>
      <c r="H12" s="17">
        <v>451</v>
      </c>
      <c r="I12" s="17">
        <v>16049000</v>
      </c>
      <c r="J12" s="17">
        <v>36</v>
      </c>
      <c r="K12" s="17">
        <v>1274000</v>
      </c>
      <c r="L12" s="17">
        <v>3</v>
      </c>
      <c r="M12" s="17">
        <v>260000</v>
      </c>
      <c r="N12" s="17">
        <v>33</v>
      </c>
      <c r="O12" s="17">
        <v>1014000</v>
      </c>
      <c r="P12" s="36">
        <v>7</v>
      </c>
      <c r="Q12" s="35">
        <v>7.9381892952799999</v>
      </c>
    </row>
    <row r="13" spans="1:17" ht="15.75" thickBot="1" x14ac:dyDescent="0.3">
      <c r="A13" s="78"/>
      <c r="B13" s="26"/>
      <c r="C13" s="27"/>
      <c r="D13" s="28" t="s">
        <v>6</v>
      </c>
      <c r="E13" s="28">
        <f>SUM(E10:E12)</f>
        <v>72</v>
      </c>
      <c r="F13" s="28">
        <f>SUM(F10:F12)</f>
        <v>0</v>
      </c>
      <c r="G13" s="28">
        <f t="shared" ref="G13:O13" si="0">SUM(G10:G12)</f>
        <v>0</v>
      </c>
      <c r="H13" s="28">
        <f t="shared" si="0"/>
        <v>1823</v>
      </c>
      <c r="I13" s="28">
        <f t="shared" si="0"/>
        <v>64111000</v>
      </c>
      <c r="J13" s="28">
        <f t="shared" si="0"/>
        <v>109</v>
      </c>
      <c r="K13" s="28">
        <f t="shared" si="0"/>
        <v>4156000</v>
      </c>
      <c r="L13" s="28">
        <f t="shared" si="0"/>
        <v>15</v>
      </c>
      <c r="M13" s="28">
        <f>SUM(M10:M12)</f>
        <v>1160000</v>
      </c>
      <c r="N13" s="28">
        <f t="shared" si="0"/>
        <v>94</v>
      </c>
      <c r="O13" s="28">
        <f t="shared" si="0"/>
        <v>2996000</v>
      </c>
      <c r="P13" s="33">
        <f>+(N13+L13)/H13*100</f>
        <v>5.979155238617663</v>
      </c>
      <c r="Q13" s="33">
        <f>+(O13+M13)/I13*100</f>
        <v>6.4825069020916848</v>
      </c>
    </row>
    <row r="14" spans="1:17" x14ac:dyDescent="0.25">
      <c r="E14" s="12"/>
      <c r="F14" s="20">
        <f>+E13-F13</f>
        <v>72</v>
      </c>
    </row>
    <row r="15" spans="1:17" ht="27.75" customHeight="1" x14ac:dyDescent="0.25">
      <c r="E15" s="21" t="s">
        <v>58</v>
      </c>
      <c r="F15" s="22">
        <f>+F14+F9</f>
        <v>72</v>
      </c>
    </row>
    <row r="21" spans="7:7" x14ac:dyDescent="0.25">
      <c r="G21" s="11"/>
    </row>
    <row r="22" spans="7:7" x14ac:dyDescent="0.25">
      <c r="G22" s="11"/>
    </row>
    <row r="23" spans="7:7" x14ac:dyDescent="0.25">
      <c r="G23" s="11"/>
    </row>
    <row r="24" spans="7:7" x14ac:dyDescent="0.25">
      <c r="G24" s="11"/>
    </row>
    <row r="25" spans="7:7" x14ac:dyDescent="0.25">
      <c r="G25" s="11"/>
    </row>
    <row r="26" spans="7:7" x14ac:dyDescent="0.25">
      <c r="G26" s="11"/>
    </row>
    <row r="27" spans="7:7" x14ac:dyDescent="0.25">
      <c r="G27" s="11"/>
    </row>
    <row r="28" spans="7:7" x14ac:dyDescent="0.25">
      <c r="G28" s="11"/>
    </row>
    <row r="29" spans="7:7" x14ac:dyDescent="0.25">
      <c r="G29" s="11"/>
    </row>
    <row r="30" spans="7:7" x14ac:dyDescent="0.25">
      <c r="G30" s="11"/>
    </row>
    <row r="31" spans="7:7" x14ac:dyDescent="0.25">
      <c r="G31" s="11"/>
    </row>
    <row r="32" spans="7:7" x14ac:dyDescent="0.25">
      <c r="G32" s="11"/>
    </row>
    <row r="33" spans="2:9" x14ac:dyDescent="0.25">
      <c r="G33" s="11"/>
    </row>
    <row r="34" spans="2:9" x14ac:dyDescent="0.25">
      <c r="G34" s="11"/>
    </row>
    <row r="35" spans="2:9" x14ac:dyDescent="0.25">
      <c r="G35" s="11"/>
    </row>
    <row r="36" spans="2:9" x14ac:dyDescent="0.25">
      <c r="G36" s="11"/>
    </row>
    <row r="37" spans="2:9" x14ac:dyDescent="0.25">
      <c r="G37" s="11"/>
    </row>
    <row r="38" spans="2:9" x14ac:dyDescent="0.25">
      <c r="G38" s="11"/>
    </row>
    <row r="39" spans="2:9" x14ac:dyDescent="0.25">
      <c r="G39" s="11"/>
    </row>
    <row r="40" spans="2:9" x14ac:dyDescent="0.25">
      <c r="G40" s="11"/>
    </row>
    <row r="41" spans="2:9" x14ac:dyDescent="0.25">
      <c r="G41" s="11"/>
    </row>
    <row r="42" spans="2:9" x14ac:dyDescent="0.25">
      <c r="G42" s="11"/>
    </row>
    <row r="43" spans="2:9" ht="15.75" thickBot="1" x14ac:dyDescent="0.3">
      <c r="G43" s="11"/>
    </row>
    <row r="44" spans="2:9" ht="18.75" x14ac:dyDescent="0.3">
      <c r="B44" s="82" t="s">
        <v>34</v>
      </c>
      <c r="C44" s="83"/>
      <c r="D44" s="83"/>
      <c r="E44" s="83"/>
      <c r="F44" s="83"/>
      <c r="G44" s="83"/>
      <c r="H44" s="83"/>
      <c r="I44" s="84"/>
    </row>
    <row r="45" spans="2:9" x14ac:dyDescent="0.25">
      <c r="B45" s="9" t="s">
        <v>26</v>
      </c>
      <c r="C45" s="2" t="s">
        <v>27</v>
      </c>
      <c r="D45" s="2" t="s">
        <v>28</v>
      </c>
      <c r="E45" s="2" t="s">
        <v>29</v>
      </c>
      <c r="F45" s="2" t="s">
        <v>30</v>
      </c>
      <c r="G45" s="2" t="s">
        <v>31</v>
      </c>
      <c r="H45" s="2" t="s">
        <v>32</v>
      </c>
      <c r="I45" s="10" t="s">
        <v>33</v>
      </c>
    </row>
    <row r="46" spans="2:9" x14ac:dyDescent="0.25">
      <c r="B46" s="5" t="s">
        <v>20</v>
      </c>
      <c r="C46" s="1">
        <v>52</v>
      </c>
      <c r="D46" s="1">
        <v>5720000</v>
      </c>
      <c r="E46" s="1">
        <v>28</v>
      </c>
      <c r="F46" s="1">
        <v>2680000</v>
      </c>
      <c r="G46" s="1">
        <v>53</v>
      </c>
      <c r="H46" s="1">
        <v>46</v>
      </c>
      <c r="I46" s="6">
        <v>24</v>
      </c>
    </row>
    <row r="47" spans="2:9" x14ac:dyDescent="0.25">
      <c r="B47" s="5" t="s">
        <v>8</v>
      </c>
      <c r="C47" s="1">
        <v>40</v>
      </c>
      <c r="D47" s="1">
        <v>3520000</v>
      </c>
      <c r="E47" s="1">
        <v>20</v>
      </c>
      <c r="F47" s="1">
        <v>1850000</v>
      </c>
      <c r="G47" s="1">
        <v>50</v>
      </c>
      <c r="H47" s="1">
        <v>52</v>
      </c>
      <c r="I47" s="6">
        <v>20</v>
      </c>
    </row>
    <row r="48" spans="2:9" x14ac:dyDescent="0.25">
      <c r="B48" s="5" t="s">
        <v>9</v>
      </c>
      <c r="C48" s="1">
        <v>66</v>
      </c>
      <c r="D48" s="1">
        <v>5180000</v>
      </c>
      <c r="E48" s="1">
        <v>49</v>
      </c>
      <c r="F48" s="1">
        <v>3860000</v>
      </c>
      <c r="G48" s="1">
        <v>74</v>
      </c>
      <c r="H48" s="1">
        <v>74</v>
      </c>
      <c r="I48" s="6">
        <v>17</v>
      </c>
    </row>
    <row r="49" spans="2:9" x14ac:dyDescent="0.25">
      <c r="B49" s="5" t="s">
        <v>7</v>
      </c>
      <c r="C49" s="1">
        <v>49</v>
      </c>
      <c r="D49" s="1">
        <v>3510000</v>
      </c>
      <c r="E49" s="1">
        <v>29</v>
      </c>
      <c r="F49" s="1">
        <v>2120000</v>
      </c>
      <c r="G49" s="1">
        <v>59</v>
      </c>
      <c r="H49" s="1">
        <v>60</v>
      </c>
      <c r="I49" s="6">
        <v>20</v>
      </c>
    </row>
    <row r="50" spans="2:9" x14ac:dyDescent="0.25">
      <c r="B50" s="5" t="s">
        <v>25</v>
      </c>
      <c r="C50" s="1">
        <v>61</v>
      </c>
      <c r="D50" s="1">
        <v>4790000</v>
      </c>
      <c r="E50" s="1">
        <v>49</v>
      </c>
      <c r="F50" s="1">
        <v>3910000</v>
      </c>
      <c r="G50" s="1">
        <v>80</v>
      </c>
      <c r="H50" s="1">
        <v>81</v>
      </c>
      <c r="I50" s="6">
        <v>12</v>
      </c>
    </row>
    <row r="51" spans="2:9" ht="15.75" thickBot="1" x14ac:dyDescent="0.3">
      <c r="B51" s="13" t="s">
        <v>6</v>
      </c>
      <c r="C51" s="7">
        <f>SUM(C46:C50)</f>
        <v>268</v>
      </c>
      <c r="D51" s="7">
        <f t="shared" ref="D51:F51" si="1">SUM(D46:D50)</f>
        <v>22720000</v>
      </c>
      <c r="E51" s="7">
        <f t="shared" si="1"/>
        <v>175</v>
      </c>
      <c r="F51" s="7">
        <f t="shared" si="1"/>
        <v>14420000</v>
      </c>
      <c r="G51" s="8">
        <f>+E51/C51*100</f>
        <v>65.298507462686572</v>
      </c>
      <c r="H51" s="8">
        <f>+F51/D51*100</f>
        <v>63.468309859154928</v>
      </c>
      <c r="I51" s="14">
        <f>+C51-E51</f>
        <v>93</v>
      </c>
    </row>
    <row r="53" spans="2:9" x14ac:dyDescent="0.25">
      <c r="C53" s="12"/>
    </row>
    <row r="54" spans="2:9" x14ac:dyDescent="0.25">
      <c r="C54" s="12"/>
    </row>
    <row r="55" spans="2:9" x14ac:dyDescent="0.25">
      <c r="C55" s="12"/>
    </row>
    <row r="56" spans="2:9" x14ac:dyDescent="0.25">
      <c r="C56" s="12"/>
    </row>
    <row r="57" spans="2:9" x14ac:dyDescent="0.25">
      <c r="C57" s="12"/>
    </row>
    <row r="58" spans="2:9" x14ac:dyDescent="0.25">
      <c r="C58" s="12"/>
    </row>
    <row r="59" spans="2:9" x14ac:dyDescent="0.25">
      <c r="C59" s="12"/>
    </row>
    <row r="60" spans="2:9" x14ac:dyDescent="0.25">
      <c r="C60" s="12"/>
    </row>
    <row r="61" spans="2:9" x14ac:dyDescent="0.25">
      <c r="C61" s="12"/>
    </row>
    <row r="62" spans="2:9" x14ac:dyDescent="0.25">
      <c r="C62" s="12"/>
    </row>
    <row r="63" spans="2:9" x14ac:dyDescent="0.25">
      <c r="C63" s="12"/>
    </row>
    <row r="64" spans="2:9" x14ac:dyDescent="0.25">
      <c r="C64" s="12"/>
    </row>
    <row r="65" spans="3:9" x14ac:dyDescent="0.25">
      <c r="C65" s="12"/>
    </row>
    <row r="66" spans="3:9" x14ac:dyDescent="0.25">
      <c r="C66" s="12"/>
    </row>
    <row r="67" spans="3:9" x14ac:dyDescent="0.25">
      <c r="C67" s="12"/>
    </row>
    <row r="68" spans="3:9" x14ac:dyDescent="0.25">
      <c r="C68" s="12"/>
    </row>
    <row r="69" spans="3:9" x14ac:dyDescent="0.25">
      <c r="C69" s="12"/>
    </row>
    <row r="70" spans="3:9" x14ac:dyDescent="0.25">
      <c r="C70" s="12"/>
    </row>
    <row r="71" spans="3:9" x14ac:dyDescent="0.25">
      <c r="C71" s="12"/>
    </row>
    <row r="72" spans="3:9" x14ac:dyDescent="0.25">
      <c r="D72" s="4"/>
      <c r="E72" s="4"/>
      <c r="F72" s="4"/>
      <c r="G72" s="4"/>
      <c r="H72" s="4"/>
      <c r="I72" s="4"/>
    </row>
  </sheetData>
  <mergeCells count="4">
    <mergeCell ref="A10:A13"/>
    <mergeCell ref="A5:A7"/>
    <mergeCell ref="B44:I44"/>
    <mergeCell ref="B3:Q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"/>
  <sheetViews>
    <sheetView zoomScale="85" zoomScaleNormal="85" workbookViewId="0">
      <selection activeCell="I21" sqref="I21"/>
    </sheetView>
  </sheetViews>
  <sheetFormatPr defaultRowHeight="15" x14ac:dyDescent="0.25"/>
  <cols>
    <col min="1" max="1" width="13.140625" style="4" customWidth="1"/>
    <col min="2" max="2" width="13.140625" customWidth="1"/>
    <col min="3" max="3" width="5" customWidth="1"/>
    <col min="4" max="4" width="11.85546875" customWidth="1"/>
    <col min="5" max="5" width="17.7109375" customWidth="1"/>
    <col min="6" max="6" width="5.28515625" customWidth="1"/>
    <col min="7" max="7" width="10.5703125" customWidth="1"/>
    <col min="8" max="8" width="12.7109375" customWidth="1"/>
    <col min="9" max="9" width="6" customWidth="1"/>
    <col min="10" max="10" width="12.140625" customWidth="1"/>
    <col min="11" max="11" width="15.140625" bestFit="1" customWidth="1"/>
    <col min="12" max="12" width="6" customWidth="1"/>
    <col min="13" max="13" width="8.7109375" bestFit="1" customWidth="1"/>
    <col min="14" max="14" width="15.140625" bestFit="1" customWidth="1"/>
  </cols>
  <sheetData>
    <row r="1" spans="1:14" x14ac:dyDescent="0.25">
      <c r="A1" s="90" t="s">
        <v>24</v>
      </c>
      <c r="B1" s="90"/>
      <c r="D1" s="90" t="s">
        <v>24</v>
      </c>
      <c r="E1" s="90"/>
      <c r="G1" s="88" t="s">
        <v>24</v>
      </c>
      <c r="H1" s="89"/>
      <c r="J1" s="88" t="s">
        <v>24</v>
      </c>
      <c r="K1" s="89"/>
      <c r="M1" s="88" t="s">
        <v>24</v>
      </c>
      <c r="N1" s="89"/>
    </row>
    <row r="2" spans="1:14" s="3" customFormat="1" ht="18" customHeight="1" x14ac:dyDescent="0.25">
      <c r="A2" s="66" t="s">
        <v>23</v>
      </c>
      <c r="B2" s="67" t="s">
        <v>22</v>
      </c>
      <c r="D2" s="66" t="s">
        <v>23</v>
      </c>
      <c r="E2" s="67" t="s">
        <v>22</v>
      </c>
      <c r="G2" s="66" t="s">
        <v>23</v>
      </c>
      <c r="H2" s="67" t="s">
        <v>22</v>
      </c>
      <c r="J2" s="66" t="s">
        <v>23</v>
      </c>
      <c r="K2" s="67" t="s">
        <v>22</v>
      </c>
      <c r="M2" s="66" t="s">
        <v>23</v>
      </c>
      <c r="N2" s="67" t="s">
        <v>22</v>
      </c>
    </row>
    <row r="3" spans="1:14" x14ac:dyDescent="0.25">
      <c r="A3" s="72" t="s">
        <v>261</v>
      </c>
      <c r="B3" s="68" t="s">
        <v>320</v>
      </c>
      <c r="D3" s="72" t="s">
        <v>303</v>
      </c>
      <c r="E3" s="68" t="s">
        <v>302</v>
      </c>
      <c r="G3" s="72" t="s">
        <v>269</v>
      </c>
      <c r="H3" s="68" t="s">
        <v>268</v>
      </c>
      <c r="J3" s="72" t="s">
        <v>287</v>
      </c>
      <c r="K3" s="68" t="s">
        <v>286</v>
      </c>
      <c r="M3" s="72" t="s">
        <v>295</v>
      </c>
      <c r="N3" s="68" t="s">
        <v>294</v>
      </c>
    </row>
    <row r="4" spans="1:14" x14ac:dyDescent="0.25">
      <c r="A4" s="72" t="s">
        <v>254</v>
      </c>
      <c r="B4" s="68" t="s">
        <v>321</v>
      </c>
      <c r="D4" s="72" t="s">
        <v>229</v>
      </c>
      <c r="E4" s="68" t="s">
        <v>226</v>
      </c>
      <c r="G4" s="72" t="s">
        <v>234</v>
      </c>
      <c r="H4" s="68" t="s">
        <v>235</v>
      </c>
      <c r="J4" s="72" t="s">
        <v>277</v>
      </c>
      <c r="K4" s="68" t="s">
        <v>276</v>
      </c>
      <c r="M4" s="72" t="s">
        <v>299</v>
      </c>
      <c r="N4" s="68" t="s">
        <v>298</v>
      </c>
    </row>
    <row r="5" spans="1:14" x14ac:dyDescent="0.25">
      <c r="A5" s="72" t="s">
        <v>221</v>
      </c>
      <c r="B5" s="68" t="s">
        <v>232</v>
      </c>
      <c r="D5" s="72" t="s">
        <v>317</v>
      </c>
      <c r="E5" s="68" t="s">
        <v>316</v>
      </c>
      <c r="G5" s="72" t="s">
        <v>236</v>
      </c>
      <c r="H5" s="68" t="s">
        <v>237</v>
      </c>
      <c r="J5" s="72" t="s">
        <v>283</v>
      </c>
      <c r="K5" s="68" t="s">
        <v>282</v>
      </c>
      <c r="M5" s="72" t="s">
        <v>301</v>
      </c>
      <c r="N5" s="68" t="s">
        <v>300</v>
      </c>
    </row>
    <row r="6" spans="1:14" x14ac:dyDescent="0.25">
      <c r="A6" s="72" t="s">
        <v>118</v>
      </c>
      <c r="B6" s="68" t="s">
        <v>233</v>
      </c>
      <c r="D6" s="72" t="s">
        <v>311</v>
      </c>
      <c r="E6" s="68" t="s">
        <v>310</v>
      </c>
      <c r="G6" s="72" t="s">
        <v>238</v>
      </c>
      <c r="H6" s="68" t="s">
        <v>239</v>
      </c>
      <c r="J6" s="72" t="s">
        <v>281</v>
      </c>
      <c r="K6" s="68" t="s">
        <v>280</v>
      </c>
      <c r="M6" s="72" t="s">
        <v>293</v>
      </c>
      <c r="N6" s="68" t="s">
        <v>292</v>
      </c>
    </row>
    <row r="7" spans="1:14" x14ac:dyDescent="0.25">
      <c r="A7" s="72" t="s">
        <v>260</v>
      </c>
      <c r="B7" s="68" t="s">
        <v>259</v>
      </c>
      <c r="D7" s="72" t="s">
        <v>315</v>
      </c>
      <c r="E7" s="68" t="s">
        <v>314</v>
      </c>
      <c r="G7" s="72" t="s">
        <v>240</v>
      </c>
      <c r="H7" s="68" t="s">
        <v>241</v>
      </c>
      <c r="J7" s="72" t="s">
        <v>275</v>
      </c>
      <c r="K7" s="68" t="s">
        <v>274</v>
      </c>
      <c r="M7" s="72" t="s">
        <v>297</v>
      </c>
      <c r="N7" s="68" t="s">
        <v>296</v>
      </c>
    </row>
    <row r="8" spans="1:14" x14ac:dyDescent="0.25">
      <c r="A8" s="72" t="s">
        <v>256</v>
      </c>
      <c r="B8" s="68" t="s">
        <v>255</v>
      </c>
      <c r="D8" s="72" t="s">
        <v>230</v>
      </c>
      <c r="E8" s="68" t="s">
        <v>227</v>
      </c>
      <c r="G8" s="72" t="s">
        <v>242</v>
      </c>
      <c r="H8" s="68" t="s">
        <v>243</v>
      </c>
      <c r="J8" s="72" t="s">
        <v>279</v>
      </c>
      <c r="K8" s="68" t="s">
        <v>278</v>
      </c>
      <c r="M8" s="72"/>
      <c r="N8" s="68"/>
    </row>
    <row r="9" spans="1:14" x14ac:dyDescent="0.25">
      <c r="A9" s="72" t="s">
        <v>336</v>
      </c>
      <c r="B9" s="68" t="s">
        <v>335</v>
      </c>
      <c r="D9" s="72" t="s">
        <v>313</v>
      </c>
      <c r="E9" s="68" t="s">
        <v>312</v>
      </c>
      <c r="G9" s="72" t="s">
        <v>244</v>
      </c>
      <c r="H9" s="68" t="s">
        <v>245</v>
      </c>
      <c r="J9" s="72" t="s">
        <v>285</v>
      </c>
      <c r="K9" s="68" t="s">
        <v>284</v>
      </c>
      <c r="M9" s="72"/>
      <c r="N9" s="68"/>
    </row>
    <row r="10" spans="1:14" x14ac:dyDescent="0.25">
      <c r="A10" s="72" t="s">
        <v>219</v>
      </c>
      <c r="B10" s="68" t="s">
        <v>218</v>
      </c>
      <c r="D10" s="72" t="s">
        <v>307</v>
      </c>
      <c r="E10" s="68" t="s">
        <v>306</v>
      </c>
      <c r="G10" s="72" t="s">
        <v>246</v>
      </c>
      <c r="H10" s="68" t="s">
        <v>247</v>
      </c>
      <c r="J10" s="72" t="s">
        <v>273</v>
      </c>
      <c r="K10" s="68" t="s">
        <v>272</v>
      </c>
      <c r="M10" s="72"/>
      <c r="N10" s="68"/>
    </row>
    <row r="11" spans="1:14" x14ac:dyDescent="0.25">
      <c r="A11" s="72" t="s">
        <v>330</v>
      </c>
      <c r="B11" s="68" t="s">
        <v>329</v>
      </c>
      <c r="D11" s="72" t="s">
        <v>319</v>
      </c>
      <c r="E11" s="68" t="s">
        <v>318</v>
      </c>
      <c r="G11" s="72" t="s">
        <v>263</v>
      </c>
      <c r="H11" s="68" t="s">
        <v>323</v>
      </c>
      <c r="J11" s="72" t="s">
        <v>291</v>
      </c>
      <c r="K11" s="68" t="s">
        <v>290</v>
      </c>
      <c r="M11" s="72"/>
      <c r="N11" s="68"/>
    </row>
    <row r="12" spans="1:14" x14ac:dyDescent="0.25">
      <c r="A12" s="72" t="s">
        <v>220</v>
      </c>
      <c r="B12" s="68" t="s">
        <v>119</v>
      </c>
      <c r="D12" s="72" t="s">
        <v>309</v>
      </c>
      <c r="E12" s="68" t="s">
        <v>308</v>
      </c>
      <c r="G12" s="72" t="s">
        <v>267</v>
      </c>
      <c r="H12" s="68" t="s">
        <v>266</v>
      </c>
      <c r="J12" s="72" t="s">
        <v>271</v>
      </c>
      <c r="K12" s="68" t="s">
        <v>270</v>
      </c>
      <c r="M12" s="72"/>
      <c r="N12" s="68"/>
    </row>
    <row r="13" spans="1:14" x14ac:dyDescent="0.25">
      <c r="A13" s="72" t="s">
        <v>326</v>
      </c>
      <c r="B13" s="68" t="s">
        <v>337</v>
      </c>
      <c r="D13" s="72" t="s">
        <v>231</v>
      </c>
      <c r="E13" s="68" t="s">
        <v>228</v>
      </c>
      <c r="G13" s="72" t="s">
        <v>265</v>
      </c>
      <c r="H13" s="68" t="s">
        <v>264</v>
      </c>
      <c r="J13" s="72" t="s">
        <v>289</v>
      </c>
      <c r="K13" s="68" t="s">
        <v>288</v>
      </c>
      <c r="M13" s="72"/>
      <c r="N13" s="68"/>
    </row>
    <row r="14" spans="1:14" x14ac:dyDescent="0.25">
      <c r="A14" s="72" t="s">
        <v>328</v>
      </c>
      <c r="B14" s="68" t="s">
        <v>327</v>
      </c>
      <c r="D14" s="72" t="s">
        <v>305</v>
      </c>
      <c r="E14" s="68" t="s">
        <v>304</v>
      </c>
      <c r="G14" s="72" t="s">
        <v>248</v>
      </c>
      <c r="H14" s="68" t="s">
        <v>249</v>
      </c>
      <c r="J14" s="72"/>
      <c r="K14" s="68"/>
      <c r="M14" s="72"/>
      <c r="N14" s="68"/>
    </row>
    <row r="15" spans="1:14" x14ac:dyDescent="0.25">
      <c r="A15" s="72" t="s">
        <v>332</v>
      </c>
      <c r="B15" s="68" t="s">
        <v>331</v>
      </c>
      <c r="D15" s="72"/>
      <c r="E15" s="68"/>
      <c r="G15" s="72" t="s">
        <v>250</v>
      </c>
      <c r="H15" s="68" t="s">
        <v>251</v>
      </c>
      <c r="J15" s="72"/>
      <c r="K15" s="68"/>
      <c r="M15" s="72"/>
      <c r="N15" s="68"/>
    </row>
    <row r="16" spans="1:14" x14ac:dyDescent="0.25">
      <c r="A16" s="72" t="s">
        <v>334</v>
      </c>
      <c r="B16" s="68" t="s">
        <v>333</v>
      </c>
      <c r="D16" s="72"/>
      <c r="E16" s="68"/>
      <c r="G16" s="72" t="s">
        <v>252</v>
      </c>
      <c r="H16" s="68" t="s">
        <v>253</v>
      </c>
      <c r="J16" s="72"/>
      <c r="K16" s="68"/>
      <c r="M16" s="72"/>
      <c r="N16" s="68"/>
    </row>
    <row r="17" spans="1:14" x14ac:dyDescent="0.25">
      <c r="A17" s="72" t="s">
        <v>223</v>
      </c>
      <c r="B17" s="68" t="s">
        <v>222</v>
      </c>
      <c r="D17" s="72"/>
      <c r="E17" s="68"/>
      <c r="G17" s="72"/>
      <c r="H17" s="68"/>
      <c r="J17" s="72"/>
      <c r="K17" s="68"/>
      <c r="M17" s="72"/>
      <c r="N17" s="68"/>
    </row>
    <row r="18" spans="1:14" x14ac:dyDescent="0.25">
      <c r="A18" s="72" t="s">
        <v>262</v>
      </c>
      <c r="B18" s="68" t="s">
        <v>322</v>
      </c>
      <c r="D18" s="72"/>
      <c r="E18" s="68"/>
      <c r="G18" s="72"/>
      <c r="H18" s="68"/>
      <c r="J18" s="72"/>
      <c r="K18" s="68"/>
      <c r="M18" s="72"/>
      <c r="N18" s="68"/>
    </row>
    <row r="19" spans="1:14" x14ac:dyDescent="0.25">
      <c r="A19" s="72" t="s">
        <v>225</v>
      </c>
      <c r="B19" s="68" t="s">
        <v>224</v>
      </c>
      <c r="D19" s="72"/>
      <c r="E19" s="68"/>
      <c r="G19" s="72"/>
      <c r="H19" s="68"/>
      <c r="J19" s="72"/>
      <c r="K19" s="68"/>
      <c r="M19" s="72"/>
      <c r="N19" s="68"/>
    </row>
    <row r="20" spans="1:14" x14ac:dyDescent="0.25">
      <c r="A20" s="72" t="s">
        <v>325</v>
      </c>
      <c r="B20" s="68" t="s">
        <v>324</v>
      </c>
      <c r="D20" s="72"/>
      <c r="E20" s="68"/>
      <c r="G20" s="72"/>
      <c r="H20" s="68"/>
      <c r="J20" s="72"/>
      <c r="K20" s="68"/>
      <c r="M20" s="72"/>
      <c r="N20" s="68"/>
    </row>
    <row r="21" spans="1:14" x14ac:dyDescent="0.25">
      <c r="A21" s="72" t="s">
        <v>258</v>
      </c>
      <c r="B21" s="68" t="s">
        <v>257</v>
      </c>
      <c r="D21" s="72"/>
      <c r="E21" s="68"/>
      <c r="G21" s="72"/>
      <c r="H21" s="68"/>
      <c r="J21" s="72"/>
      <c r="K21" s="68"/>
      <c r="M21" s="72"/>
      <c r="N21" s="68"/>
    </row>
    <row r="22" spans="1:14" x14ac:dyDescent="0.25">
      <c r="A22" s="72"/>
      <c r="B22" s="68"/>
      <c r="D22" s="72"/>
      <c r="E22" s="68"/>
      <c r="G22" s="72"/>
      <c r="H22" s="68"/>
      <c r="J22" s="72"/>
      <c r="K22" s="68"/>
      <c r="M22" s="72"/>
      <c r="N22" s="68"/>
    </row>
    <row r="23" spans="1:14" x14ac:dyDescent="0.25">
      <c r="A23" s="72"/>
      <c r="B23" s="68"/>
      <c r="D23" s="72"/>
      <c r="E23" s="68"/>
      <c r="G23" s="72"/>
      <c r="H23" s="68"/>
      <c r="J23" s="72"/>
      <c r="K23" s="68"/>
      <c r="M23" s="72"/>
      <c r="N23" s="68"/>
    </row>
  </sheetData>
  <mergeCells count="5">
    <mergeCell ref="M1:N1"/>
    <mergeCell ref="A1:B1"/>
    <mergeCell ref="D1:E1"/>
    <mergeCell ref="G1:H1"/>
    <mergeCell ref="J1:K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I36"/>
  <sheetViews>
    <sheetView workbookViewId="0">
      <selection activeCell="C4" sqref="C4"/>
    </sheetView>
  </sheetViews>
  <sheetFormatPr defaultRowHeight="15" x14ac:dyDescent="0.25"/>
  <cols>
    <col min="1" max="1" width="7" bestFit="1" customWidth="1"/>
    <col min="2" max="3" width="25.5703125" bestFit="1" customWidth="1"/>
    <col min="4" max="4" width="14.85546875" bestFit="1" customWidth="1"/>
    <col min="5" max="5" width="7.7109375" bestFit="1" customWidth="1"/>
    <col min="6" max="6" width="14.85546875" bestFit="1" customWidth="1"/>
    <col min="7" max="7" width="9.28515625" bestFit="1" customWidth="1"/>
    <col min="8" max="8" width="8.28515625" bestFit="1" customWidth="1"/>
    <col min="9" max="9" width="11" bestFit="1" customWidth="1"/>
    <col min="10" max="10" width="9" bestFit="1" customWidth="1"/>
    <col min="11" max="11" width="10.7109375" bestFit="1" customWidth="1"/>
    <col min="12" max="12" width="15.85546875" bestFit="1" customWidth="1"/>
    <col min="13" max="13" width="24.42578125" bestFit="1" customWidth="1"/>
    <col min="14" max="14" width="19.7109375" bestFit="1" customWidth="1"/>
    <col min="15" max="15" width="22.5703125" bestFit="1" customWidth="1"/>
    <col min="16" max="16" width="17.85546875" bestFit="1" customWidth="1"/>
    <col min="17" max="17" width="24.5703125" bestFit="1" customWidth="1"/>
    <col min="18" max="18" width="19.85546875" bestFit="1" customWidth="1"/>
    <col min="19" max="19" width="23.42578125" bestFit="1" customWidth="1"/>
    <col min="20" max="20" width="24.5703125" bestFit="1" customWidth="1"/>
    <col min="21" max="21" width="25" bestFit="1" customWidth="1"/>
    <col min="22" max="22" width="20.28515625" bestFit="1" customWidth="1"/>
    <col min="23" max="23" width="19.85546875" bestFit="1" customWidth="1"/>
    <col min="24" max="24" width="20.42578125" bestFit="1" customWidth="1"/>
    <col min="25" max="25" width="12.5703125" bestFit="1" customWidth="1"/>
    <col min="26" max="26" width="15.140625" bestFit="1" customWidth="1"/>
    <col min="27" max="27" width="22" bestFit="1" customWidth="1"/>
    <col min="28" max="28" width="12" bestFit="1" customWidth="1"/>
    <col min="29" max="29" width="29.28515625" bestFit="1" customWidth="1"/>
    <col min="30" max="30" width="38.42578125" bestFit="1" customWidth="1"/>
    <col min="31" max="31" width="14.42578125" bestFit="1" customWidth="1"/>
    <col min="32" max="32" width="16.85546875" bestFit="1" customWidth="1"/>
    <col min="33" max="33" width="10.85546875" bestFit="1" customWidth="1"/>
    <col min="34" max="34" width="15" bestFit="1" customWidth="1"/>
  </cols>
  <sheetData>
    <row r="1" spans="1:35" x14ac:dyDescent="0.25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137</v>
      </c>
      <c r="S1" t="s">
        <v>138</v>
      </c>
      <c r="T1" t="s">
        <v>139</v>
      </c>
      <c r="U1" t="s">
        <v>140</v>
      </c>
      <c r="V1" t="s">
        <v>141</v>
      </c>
      <c r="W1" t="s">
        <v>142</v>
      </c>
      <c r="X1" t="s">
        <v>143</v>
      </c>
      <c r="Y1" t="s">
        <v>144</v>
      </c>
      <c r="Z1" t="s">
        <v>145</v>
      </c>
      <c r="AA1" t="s">
        <v>146</v>
      </c>
      <c r="AB1" t="s">
        <v>147</v>
      </c>
      <c r="AC1" t="s">
        <v>148</v>
      </c>
      <c r="AD1" t="s">
        <v>149</v>
      </c>
      <c r="AE1" t="s">
        <v>150</v>
      </c>
      <c r="AF1" t="s">
        <v>151</v>
      </c>
      <c r="AG1" t="s">
        <v>152</v>
      </c>
      <c r="AH1" t="s">
        <v>153</v>
      </c>
      <c r="AI1" t="s">
        <v>154</v>
      </c>
    </row>
    <row r="2" spans="1:35" x14ac:dyDescent="0.25">
      <c r="A2">
        <v>1517</v>
      </c>
      <c r="B2" t="s">
        <v>155</v>
      </c>
      <c r="C2" t="s">
        <v>156</v>
      </c>
      <c r="D2" t="s">
        <v>64</v>
      </c>
      <c r="E2">
        <v>2130</v>
      </c>
      <c r="F2" s="62">
        <v>44592</v>
      </c>
      <c r="G2">
        <v>0</v>
      </c>
      <c r="H2">
        <v>0</v>
      </c>
      <c r="I2">
        <v>7459013702</v>
      </c>
      <c r="J2">
        <v>0</v>
      </c>
      <c r="K2" t="s">
        <v>64</v>
      </c>
      <c r="L2" t="s">
        <v>64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350291</v>
      </c>
      <c r="Z2">
        <v>0</v>
      </c>
      <c r="AA2">
        <v>0</v>
      </c>
      <c r="AB2" t="s">
        <v>64</v>
      </c>
      <c r="AC2" t="s">
        <v>64</v>
      </c>
      <c r="AD2" t="s">
        <v>157</v>
      </c>
      <c r="AE2">
        <v>7459013702</v>
      </c>
      <c r="AG2">
        <v>1.2</v>
      </c>
      <c r="AH2">
        <v>1.2</v>
      </c>
      <c r="AI2">
        <v>1.9019999999999999</v>
      </c>
    </row>
    <row r="3" spans="1:35" x14ac:dyDescent="0.25">
      <c r="A3">
        <v>13879</v>
      </c>
      <c r="B3" t="s">
        <v>158</v>
      </c>
      <c r="C3" t="s">
        <v>158</v>
      </c>
      <c r="D3" t="s">
        <v>64</v>
      </c>
      <c r="E3">
        <v>2130</v>
      </c>
      <c r="F3" s="62">
        <v>44590</v>
      </c>
      <c r="G3">
        <v>1</v>
      </c>
      <c r="H3">
        <v>0</v>
      </c>
      <c r="I3">
        <v>9110103633</v>
      </c>
      <c r="J3">
        <v>0</v>
      </c>
      <c r="K3" t="s">
        <v>64</v>
      </c>
      <c r="L3" t="s">
        <v>64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 t="s">
        <v>64</v>
      </c>
      <c r="X3" t="s">
        <v>64</v>
      </c>
      <c r="Y3" t="s">
        <v>64</v>
      </c>
      <c r="Z3" t="s">
        <v>64</v>
      </c>
      <c r="AA3">
        <v>0</v>
      </c>
      <c r="AB3">
        <v>781909136222</v>
      </c>
      <c r="AC3">
        <v>608112</v>
      </c>
      <c r="AD3" t="s">
        <v>159</v>
      </c>
      <c r="AE3">
        <v>9110103633</v>
      </c>
      <c r="AG3">
        <v>1.2</v>
      </c>
      <c r="AH3">
        <v>1.2</v>
      </c>
      <c r="AI3" t="s">
        <v>64</v>
      </c>
    </row>
    <row r="4" spans="1:35" x14ac:dyDescent="0.25">
      <c r="A4">
        <v>7715</v>
      </c>
      <c r="B4" t="s">
        <v>160</v>
      </c>
      <c r="C4" t="s">
        <v>160</v>
      </c>
      <c r="D4" t="s">
        <v>64</v>
      </c>
      <c r="E4">
        <v>828</v>
      </c>
      <c r="F4" s="62">
        <v>43980</v>
      </c>
      <c r="G4">
        <v>1</v>
      </c>
      <c r="H4">
        <v>0</v>
      </c>
      <c r="I4">
        <v>7905683569</v>
      </c>
      <c r="J4">
        <v>0</v>
      </c>
      <c r="K4" t="s">
        <v>64</v>
      </c>
      <c r="L4" t="s">
        <v>64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33</v>
      </c>
      <c r="U4">
        <v>17627</v>
      </c>
      <c r="V4">
        <v>12</v>
      </c>
      <c r="W4">
        <v>457</v>
      </c>
      <c r="X4">
        <v>6909266</v>
      </c>
      <c r="Y4">
        <v>1132460</v>
      </c>
      <c r="Z4">
        <v>0</v>
      </c>
      <c r="AA4">
        <v>0</v>
      </c>
      <c r="AB4" t="s">
        <v>64</v>
      </c>
      <c r="AC4" t="s">
        <v>64</v>
      </c>
      <c r="AD4" t="s">
        <v>161</v>
      </c>
      <c r="AE4">
        <v>7905683569</v>
      </c>
      <c r="AF4" t="s">
        <v>64</v>
      </c>
      <c r="AG4">
        <v>1.2</v>
      </c>
      <c r="AH4">
        <v>1.2</v>
      </c>
      <c r="AI4" t="s">
        <v>64</v>
      </c>
    </row>
    <row r="5" spans="1:35" x14ac:dyDescent="0.25">
      <c r="A5">
        <v>2755</v>
      </c>
      <c r="B5" t="s">
        <v>162</v>
      </c>
      <c r="C5" t="s">
        <v>162</v>
      </c>
      <c r="D5" t="s">
        <v>64</v>
      </c>
      <c r="E5">
        <v>9809</v>
      </c>
      <c r="F5" s="62">
        <v>44384</v>
      </c>
      <c r="G5">
        <v>1</v>
      </c>
      <c r="H5">
        <v>0</v>
      </c>
      <c r="I5">
        <v>8279767524</v>
      </c>
      <c r="J5">
        <v>0</v>
      </c>
      <c r="K5" t="s">
        <v>64</v>
      </c>
      <c r="L5" t="s">
        <v>64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t="s">
        <v>64</v>
      </c>
      <c r="AC5" t="s">
        <v>64</v>
      </c>
      <c r="AD5">
        <v>352980103376734</v>
      </c>
      <c r="AE5">
        <v>8279767524</v>
      </c>
      <c r="AG5">
        <v>1.2</v>
      </c>
      <c r="AH5">
        <v>1.2</v>
      </c>
      <c r="AI5" t="s">
        <v>64</v>
      </c>
    </row>
    <row r="6" spans="1:35" x14ac:dyDescent="0.25">
      <c r="A6">
        <v>4366</v>
      </c>
      <c r="B6" t="s">
        <v>163</v>
      </c>
      <c r="C6" t="s">
        <v>163</v>
      </c>
      <c r="D6" t="s">
        <v>64</v>
      </c>
      <c r="E6">
        <v>828</v>
      </c>
      <c r="F6" s="62">
        <v>43980</v>
      </c>
      <c r="G6">
        <v>1</v>
      </c>
      <c r="H6">
        <v>0</v>
      </c>
      <c r="I6">
        <v>8340331478</v>
      </c>
      <c r="J6">
        <v>0</v>
      </c>
      <c r="K6" t="s">
        <v>64</v>
      </c>
      <c r="L6" t="s">
        <v>64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466622309430</v>
      </c>
      <c r="AC6">
        <v>607126</v>
      </c>
      <c r="AD6" t="s">
        <v>164</v>
      </c>
      <c r="AE6">
        <v>8340331478</v>
      </c>
      <c r="AF6" t="s">
        <v>64</v>
      </c>
      <c r="AG6">
        <v>1.2</v>
      </c>
      <c r="AH6">
        <v>1.2</v>
      </c>
      <c r="AI6" t="s">
        <v>64</v>
      </c>
    </row>
    <row r="7" spans="1:35" hidden="1" x14ac:dyDescent="0.25">
      <c r="A7">
        <v>3394</v>
      </c>
      <c r="B7" t="s">
        <v>165</v>
      </c>
      <c r="C7" t="s">
        <v>166</v>
      </c>
      <c r="D7" s="62">
        <v>42200</v>
      </c>
      <c r="E7">
        <v>5021</v>
      </c>
      <c r="F7" s="62">
        <v>42164</v>
      </c>
      <c r="G7">
        <v>1</v>
      </c>
      <c r="H7">
        <v>1</v>
      </c>
      <c r="I7">
        <v>8292956518</v>
      </c>
      <c r="J7">
        <v>80010127</v>
      </c>
      <c r="K7" t="s">
        <v>64</v>
      </c>
      <c r="L7" t="s">
        <v>64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t="s">
        <v>64</v>
      </c>
      <c r="AC7" t="s">
        <v>64</v>
      </c>
      <c r="AD7" t="s">
        <v>64</v>
      </c>
      <c r="AE7" t="s">
        <v>64</v>
      </c>
      <c r="AF7" t="s">
        <v>64</v>
      </c>
      <c r="AG7">
        <v>1.2</v>
      </c>
      <c r="AH7">
        <v>0</v>
      </c>
      <c r="AI7" t="s">
        <v>64</v>
      </c>
    </row>
    <row r="8" spans="1:35" x14ac:dyDescent="0.25">
      <c r="A8">
        <v>7249</v>
      </c>
      <c r="B8" t="s">
        <v>167</v>
      </c>
      <c r="C8" t="s">
        <v>167</v>
      </c>
      <c r="D8" t="s">
        <v>64</v>
      </c>
      <c r="E8">
        <v>2130</v>
      </c>
      <c r="F8" s="62">
        <v>44590</v>
      </c>
      <c r="G8">
        <v>1</v>
      </c>
      <c r="H8">
        <v>0</v>
      </c>
      <c r="I8">
        <v>9305846126</v>
      </c>
      <c r="J8">
        <v>0</v>
      </c>
      <c r="K8" t="s">
        <v>64</v>
      </c>
      <c r="L8" t="s">
        <v>64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38</v>
      </c>
      <c r="U8">
        <v>838198</v>
      </c>
      <c r="V8">
        <v>116</v>
      </c>
      <c r="W8">
        <v>568</v>
      </c>
      <c r="X8">
        <v>6623001</v>
      </c>
      <c r="Y8">
        <v>600000</v>
      </c>
      <c r="Z8">
        <v>0</v>
      </c>
      <c r="AA8">
        <v>0</v>
      </c>
      <c r="AB8">
        <v>243300213500</v>
      </c>
      <c r="AC8">
        <v>606985</v>
      </c>
      <c r="AD8" t="s">
        <v>168</v>
      </c>
      <c r="AE8">
        <v>9305846126</v>
      </c>
      <c r="AG8">
        <v>1.2</v>
      </c>
      <c r="AH8">
        <v>1.2</v>
      </c>
      <c r="AI8" t="s">
        <v>64</v>
      </c>
    </row>
    <row r="9" spans="1:35" hidden="1" x14ac:dyDescent="0.25">
      <c r="A9">
        <v>7847</v>
      </c>
      <c r="B9" t="s">
        <v>169</v>
      </c>
      <c r="C9" t="s">
        <v>169</v>
      </c>
      <c r="D9" s="62">
        <v>42903</v>
      </c>
      <c r="E9">
        <v>9809</v>
      </c>
      <c r="F9" s="62">
        <v>42919</v>
      </c>
      <c r="G9">
        <v>1</v>
      </c>
      <c r="H9">
        <v>0</v>
      </c>
      <c r="I9">
        <v>7091195160</v>
      </c>
      <c r="J9">
        <v>0</v>
      </c>
      <c r="K9" t="s">
        <v>64</v>
      </c>
      <c r="L9" t="s">
        <v>64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469</v>
      </c>
      <c r="X9">
        <v>5400328</v>
      </c>
      <c r="Y9">
        <v>0</v>
      </c>
      <c r="Z9">
        <v>0</v>
      </c>
      <c r="AA9">
        <v>0</v>
      </c>
      <c r="AB9" t="s">
        <v>64</v>
      </c>
      <c r="AC9" t="s">
        <v>64</v>
      </c>
      <c r="AD9" t="s">
        <v>64</v>
      </c>
      <c r="AE9" t="s">
        <v>64</v>
      </c>
      <c r="AF9" t="s">
        <v>64</v>
      </c>
      <c r="AG9">
        <v>1.2</v>
      </c>
      <c r="AH9">
        <v>0</v>
      </c>
      <c r="AI9" t="s">
        <v>64</v>
      </c>
    </row>
    <row r="10" spans="1:35" x14ac:dyDescent="0.25">
      <c r="A10">
        <v>2737</v>
      </c>
      <c r="B10" t="s">
        <v>170</v>
      </c>
      <c r="C10" t="s">
        <v>170</v>
      </c>
      <c r="D10" t="s">
        <v>64</v>
      </c>
      <c r="E10">
        <v>828</v>
      </c>
      <c r="F10" s="62">
        <v>43980</v>
      </c>
      <c r="G10">
        <v>1</v>
      </c>
      <c r="H10">
        <v>1</v>
      </c>
      <c r="I10">
        <v>8318462912</v>
      </c>
      <c r="J10">
        <v>80010525</v>
      </c>
      <c r="K10" t="s">
        <v>64</v>
      </c>
      <c r="L10" t="s">
        <v>64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384821858063</v>
      </c>
      <c r="AC10">
        <v>607152</v>
      </c>
      <c r="AD10">
        <v>866505047727038</v>
      </c>
      <c r="AE10">
        <v>8318462912</v>
      </c>
      <c r="AF10" t="s">
        <v>64</v>
      </c>
      <c r="AG10">
        <v>1.2</v>
      </c>
      <c r="AH10">
        <v>1.2</v>
      </c>
      <c r="AI10" t="s">
        <v>64</v>
      </c>
    </row>
    <row r="11" spans="1:35" x14ac:dyDescent="0.25">
      <c r="A11">
        <v>2649</v>
      </c>
      <c r="B11" t="s">
        <v>171</v>
      </c>
      <c r="C11" t="s">
        <v>171</v>
      </c>
      <c r="D11" t="s">
        <v>64</v>
      </c>
      <c r="E11">
        <v>828</v>
      </c>
      <c r="F11" s="62">
        <v>43980</v>
      </c>
      <c r="G11">
        <v>1</v>
      </c>
      <c r="H11">
        <v>0</v>
      </c>
      <c r="I11">
        <v>6299342209</v>
      </c>
      <c r="J11">
        <v>0</v>
      </c>
      <c r="K11" t="s">
        <v>64</v>
      </c>
      <c r="L11" t="s">
        <v>64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704567965285</v>
      </c>
      <c r="AC11">
        <v>607153</v>
      </c>
      <c r="AD11" t="s">
        <v>172</v>
      </c>
      <c r="AE11">
        <v>6299342209</v>
      </c>
      <c r="AF11" t="s">
        <v>64</v>
      </c>
      <c r="AG11">
        <v>1.2</v>
      </c>
      <c r="AH11">
        <v>1.2</v>
      </c>
      <c r="AI11" t="s">
        <v>64</v>
      </c>
    </row>
    <row r="12" spans="1:35" x14ac:dyDescent="0.25">
      <c r="A12">
        <v>4503</v>
      </c>
      <c r="B12" t="s">
        <v>173</v>
      </c>
      <c r="C12" t="s">
        <v>173</v>
      </c>
      <c r="D12" t="s">
        <v>64</v>
      </c>
      <c r="E12">
        <v>828</v>
      </c>
      <c r="F12" s="62">
        <v>43980</v>
      </c>
      <c r="G12">
        <v>1</v>
      </c>
      <c r="H12">
        <v>0</v>
      </c>
      <c r="I12">
        <v>7355488559</v>
      </c>
      <c r="J12">
        <v>0</v>
      </c>
      <c r="K12" t="s">
        <v>64</v>
      </c>
      <c r="L12" t="s">
        <v>64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683102799585</v>
      </c>
      <c r="AC12">
        <v>607126</v>
      </c>
      <c r="AD12" t="s">
        <v>174</v>
      </c>
      <c r="AE12" t="s">
        <v>64</v>
      </c>
      <c r="AF12" t="s">
        <v>64</v>
      </c>
      <c r="AG12">
        <v>1.2</v>
      </c>
      <c r="AH12">
        <v>1.2</v>
      </c>
      <c r="AI12" t="s">
        <v>64</v>
      </c>
    </row>
    <row r="13" spans="1:35" x14ac:dyDescent="0.25">
      <c r="A13">
        <v>7062</v>
      </c>
      <c r="B13" t="s">
        <v>175</v>
      </c>
      <c r="C13" t="s">
        <v>175</v>
      </c>
      <c r="D13" t="s">
        <v>64</v>
      </c>
      <c r="E13">
        <v>2130</v>
      </c>
      <c r="F13" s="62">
        <v>44590</v>
      </c>
      <c r="G13">
        <v>1</v>
      </c>
      <c r="H13">
        <v>0</v>
      </c>
      <c r="I13">
        <v>8825265628</v>
      </c>
      <c r="J13">
        <v>0</v>
      </c>
      <c r="K13" t="s">
        <v>64</v>
      </c>
      <c r="L13" t="s">
        <v>64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45</v>
      </c>
      <c r="U13">
        <v>237365</v>
      </c>
      <c r="V13">
        <v>37</v>
      </c>
      <c r="W13">
        <v>535</v>
      </c>
      <c r="X13">
        <v>13341906</v>
      </c>
      <c r="Y13">
        <v>750000</v>
      </c>
      <c r="Z13">
        <v>4</v>
      </c>
      <c r="AA13">
        <v>0</v>
      </c>
      <c r="AB13">
        <v>767849859937</v>
      </c>
      <c r="AC13">
        <v>508505</v>
      </c>
      <c r="AD13">
        <v>864360049494613</v>
      </c>
      <c r="AE13">
        <v>8825265628</v>
      </c>
      <c r="AG13">
        <v>1.2</v>
      </c>
      <c r="AH13">
        <v>1.2</v>
      </c>
      <c r="AI13" t="s">
        <v>64</v>
      </c>
    </row>
    <row r="14" spans="1:35" x14ac:dyDescent="0.25">
      <c r="A14">
        <v>8500</v>
      </c>
      <c r="B14" t="s">
        <v>176</v>
      </c>
      <c r="C14" t="s">
        <v>177</v>
      </c>
      <c r="D14" t="s">
        <v>64</v>
      </c>
      <c r="E14">
        <v>2130</v>
      </c>
      <c r="F14" s="62">
        <v>44590</v>
      </c>
      <c r="G14">
        <v>1</v>
      </c>
      <c r="H14">
        <v>0</v>
      </c>
      <c r="I14">
        <v>9608551332</v>
      </c>
      <c r="J14">
        <v>0</v>
      </c>
      <c r="K14" t="s">
        <v>64</v>
      </c>
      <c r="L14" t="s">
        <v>64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355901</v>
      </c>
      <c r="V14">
        <v>50</v>
      </c>
      <c r="W14">
        <v>528</v>
      </c>
      <c r="X14">
        <v>16695119</v>
      </c>
      <c r="Y14">
        <v>818000</v>
      </c>
      <c r="Z14">
        <v>0</v>
      </c>
      <c r="AA14">
        <v>0</v>
      </c>
      <c r="AB14">
        <v>519914496870</v>
      </c>
      <c r="AC14">
        <v>607184</v>
      </c>
      <c r="AD14" t="s">
        <v>178</v>
      </c>
      <c r="AE14">
        <v>9608551332</v>
      </c>
      <c r="AG14">
        <v>1.2</v>
      </c>
      <c r="AH14">
        <v>1.2</v>
      </c>
      <c r="AI14">
        <v>0.17299999999999999</v>
      </c>
    </row>
    <row r="15" spans="1:35" hidden="1" x14ac:dyDescent="0.25">
      <c r="A15">
        <v>4605</v>
      </c>
      <c r="B15" t="s">
        <v>179</v>
      </c>
      <c r="C15" t="s">
        <v>180</v>
      </c>
      <c r="D15" s="62">
        <v>42602</v>
      </c>
      <c r="E15">
        <v>9809</v>
      </c>
      <c r="F15" s="62">
        <v>42605</v>
      </c>
      <c r="G15">
        <v>1</v>
      </c>
      <c r="H15">
        <v>0</v>
      </c>
      <c r="I15">
        <v>8294636880</v>
      </c>
      <c r="J15">
        <v>0</v>
      </c>
      <c r="K15" t="s">
        <v>64</v>
      </c>
      <c r="L15" t="s">
        <v>64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64</v>
      </c>
      <c r="AC15" t="s">
        <v>64</v>
      </c>
      <c r="AD15" t="s">
        <v>64</v>
      </c>
      <c r="AE15" t="s">
        <v>64</v>
      </c>
      <c r="AF15" t="s">
        <v>64</v>
      </c>
      <c r="AG15">
        <v>1.2</v>
      </c>
      <c r="AH15">
        <v>0</v>
      </c>
      <c r="AI15" t="s">
        <v>64</v>
      </c>
    </row>
    <row r="16" spans="1:35" hidden="1" x14ac:dyDescent="0.25">
      <c r="A16">
        <v>10057</v>
      </c>
      <c r="B16" t="s">
        <v>181</v>
      </c>
      <c r="C16" t="s">
        <v>182</v>
      </c>
      <c r="D16" s="62">
        <v>44600</v>
      </c>
      <c r="E16">
        <v>2130</v>
      </c>
      <c r="F16" s="62">
        <v>44590</v>
      </c>
      <c r="G16">
        <v>1</v>
      </c>
      <c r="H16">
        <v>0</v>
      </c>
      <c r="I16">
        <v>9174750902</v>
      </c>
      <c r="J16">
        <v>0</v>
      </c>
      <c r="K16" t="s">
        <v>64</v>
      </c>
      <c r="L16" t="s">
        <v>64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541</v>
      </c>
      <c r="X16">
        <v>13087151</v>
      </c>
      <c r="Y16">
        <v>1279462</v>
      </c>
      <c r="Z16">
        <v>2</v>
      </c>
      <c r="AA16">
        <v>0</v>
      </c>
      <c r="AB16">
        <v>455423524286</v>
      </c>
      <c r="AC16">
        <v>607094</v>
      </c>
      <c r="AD16">
        <v>868091046039053</v>
      </c>
      <c r="AE16">
        <v>9174750902</v>
      </c>
      <c r="AG16">
        <v>1.2</v>
      </c>
      <c r="AH16">
        <v>1.2</v>
      </c>
      <c r="AI16">
        <v>0</v>
      </c>
    </row>
    <row r="17" spans="1:35" x14ac:dyDescent="0.25">
      <c r="A17">
        <v>2001</v>
      </c>
      <c r="B17" t="s">
        <v>183</v>
      </c>
      <c r="C17" t="s">
        <v>183</v>
      </c>
      <c r="D17" t="s">
        <v>64</v>
      </c>
      <c r="E17">
        <v>828</v>
      </c>
      <c r="F17" s="62">
        <v>43980</v>
      </c>
      <c r="G17">
        <v>1</v>
      </c>
      <c r="H17">
        <v>1</v>
      </c>
      <c r="I17">
        <v>7320085793</v>
      </c>
      <c r="J17">
        <v>80010400</v>
      </c>
      <c r="K17" t="s">
        <v>64</v>
      </c>
      <c r="L17" t="s">
        <v>64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716333600470</v>
      </c>
      <c r="AC17">
        <v>607153</v>
      </c>
      <c r="AD17" t="s">
        <v>184</v>
      </c>
      <c r="AE17">
        <v>7320085793</v>
      </c>
      <c r="AF17" t="s">
        <v>64</v>
      </c>
      <c r="AG17">
        <v>1.2</v>
      </c>
      <c r="AH17">
        <v>1.2</v>
      </c>
      <c r="AI17" t="s">
        <v>64</v>
      </c>
    </row>
    <row r="18" spans="1:35" x14ac:dyDescent="0.25">
      <c r="A18">
        <v>4009</v>
      </c>
      <c r="B18" t="s">
        <v>185</v>
      </c>
      <c r="C18" t="s">
        <v>185</v>
      </c>
      <c r="D18" t="s">
        <v>64</v>
      </c>
      <c r="E18">
        <v>2130</v>
      </c>
      <c r="F18" s="62">
        <v>44590</v>
      </c>
      <c r="G18">
        <v>1</v>
      </c>
      <c r="H18">
        <v>1</v>
      </c>
      <c r="I18">
        <v>8707843657</v>
      </c>
      <c r="J18">
        <v>80010428</v>
      </c>
      <c r="K18" t="s">
        <v>64</v>
      </c>
      <c r="L18" t="s">
        <v>64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217777515192</v>
      </c>
      <c r="AC18">
        <v>508500</v>
      </c>
      <c r="AD18">
        <v>866081041986459</v>
      </c>
      <c r="AE18">
        <v>8707843657</v>
      </c>
      <c r="AG18">
        <v>1.2</v>
      </c>
      <c r="AH18">
        <v>1.2</v>
      </c>
      <c r="AI18" t="s">
        <v>64</v>
      </c>
    </row>
    <row r="19" spans="1:35" x14ac:dyDescent="0.25">
      <c r="A19">
        <v>2205</v>
      </c>
      <c r="B19" t="s">
        <v>186</v>
      </c>
      <c r="C19" t="s">
        <v>186</v>
      </c>
      <c r="D19" t="s">
        <v>64</v>
      </c>
      <c r="E19">
        <v>828</v>
      </c>
      <c r="F19" s="62">
        <v>43980</v>
      </c>
      <c r="G19">
        <v>1</v>
      </c>
      <c r="H19">
        <v>0</v>
      </c>
      <c r="I19">
        <v>7766846886</v>
      </c>
      <c r="J19">
        <v>0</v>
      </c>
      <c r="K19" t="s">
        <v>64</v>
      </c>
      <c r="L19" t="s">
        <v>64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598611053424</v>
      </c>
      <c r="AC19">
        <v>608112</v>
      </c>
      <c r="AD19">
        <v>357192109996888</v>
      </c>
      <c r="AE19">
        <v>7766846886</v>
      </c>
      <c r="AF19" t="s">
        <v>64</v>
      </c>
      <c r="AG19">
        <v>1.2</v>
      </c>
      <c r="AH19">
        <v>1.2</v>
      </c>
      <c r="AI19" t="s">
        <v>64</v>
      </c>
    </row>
    <row r="20" spans="1:35" hidden="1" x14ac:dyDescent="0.25">
      <c r="A20">
        <v>1028</v>
      </c>
      <c r="B20" t="s">
        <v>187</v>
      </c>
      <c r="C20" t="s">
        <v>188</v>
      </c>
      <c r="D20" s="62">
        <v>39465</v>
      </c>
      <c r="E20">
        <v>0</v>
      </c>
      <c r="F20" s="62">
        <v>39072</v>
      </c>
      <c r="G20">
        <v>1</v>
      </c>
      <c r="H20">
        <v>0</v>
      </c>
      <c r="I20">
        <v>0</v>
      </c>
      <c r="J20">
        <v>0</v>
      </c>
      <c r="K20" t="s">
        <v>64</v>
      </c>
      <c r="L20" t="s">
        <v>64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64</v>
      </c>
      <c r="AC20" t="s">
        <v>64</v>
      </c>
      <c r="AD20" t="s">
        <v>64</v>
      </c>
      <c r="AE20" t="s">
        <v>64</v>
      </c>
      <c r="AF20" t="s">
        <v>64</v>
      </c>
      <c r="AG20">
        <v>1.2</v>
      </c>
      <c r="AH20">
        <v>0</v>
      </c>
      <c r="AI20" t="s">
        <v>64</v>
      </c>
    </row>
    <row r="21" spans="1:35" hidden="1" x14ac:dyDescent="0.25">
      <c r="A21">
        <v>6024</v>
      </c>
      <c r="B21" t="s">
        <v>189</v>
      </c>
      <c r="C21" t="s">
        <v>190</v>
      </c>
      <c r="D21" s="62">
        <v>44548</v>
      </c>
      <c r="E21">
        <v>2130</v>
      </c>
      <c r="F21" s="62">
        <v>44355</v>
      </c>
      <c r="G21">
        <v>1</v>
      </c>
      <c r="H21">
        <v>0</v>
      </c>
      <c r="I21">
        <v>9648165078</v>
      </c>
      <c r="J21">
        <v>0</v>
      </c>
      <c r="K21" t="s">
        <v>64</v>
      </c>
      <c r="L21" t="s">
        <v>64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59164</v>
      </c>
      <c r="V21">
        <v>37</v>
      </c>
      <c r="W21">
        <v>453</v>
      </c>
      <c r="X21">
        <v>12737340</v>
      </c>
      <c r="Y21">
        <v>257042</v>
      </c>
      <c r="Z21">
        <v>4</v>
      </c>
      <c r="AA21">
        <v>0</v>
      </c>
      <c r="AB21" t="s">
        <v>64</v>
      </c>
      <c r="AC21" t="s">
        <v>64</v>
      </c>
      <c r="AD21" t="s">
        <v>191</v>
      </c>
      <c r="AE21">
        <v>9517469550</v>
      </c>
      <c r="AG21">
        <v>1.2</v>
      </c>
      <c r="AH21">
        <v>1.2</v>
      </c>
      <c r="AI21" t="s">
        <v>64</v>
      </c>
    </row>
    <row r="22" spans="1:35" x14ac:dyDescent="0.25">
      <c r="A22">
        <v>8840</v>
      </c>
      <c r="B22" t="s">
        <v>192</v>
      </c>
      <c r="C22" t="s">
        <v>192</v>
      </c>
      <c r="D22" t="s">
        <v>64</v>
      </c>
      <c r="E22">
        <v>2130</v>
      </c>
      <c r="F22" s="62">
        <v>44553</v>
      </c>
      <c r="G22">
        <v>1</v>
      </c>
      <c r="H22">
        <v>0</v>
      </c>
      <c r="I22">
        <v>7903234428</v>
      </c>
      <c r="J22">
        <v>0</v>
      </c>
      <c r="K22" t="s">
        <v>64</v>
      </c>
      <c r="L22" t="s">
        <v>64</v>
      </c>
      <c r="M22">
        <v>8462593</v>
      </c>
      <c r="N22">
        <v>422</v>
      </c>
      <c r="O22">
        <v>7146241</v>
      </c>
      <c r="P22">
        <v>0</v>
      </c>
      <c r="Q22">
        <v>2050766</v>
      </c>
      <c r="R22">
        <v>139</v>
      </c>
      <c r="S22">
        <v>0</v>
      </c>
      <c r="T22">
        <v>0</v>
      </c>
      <c r="U22">
        <v>420575</v>
      </c>
      <c r="V22">
        <v>78</v>
      </c>
      <c r="W22">
        <v>506</v>
      </c>
      <c r="X22">
        <v>19180579</v>
      </c>
      <c r="Y22">
        <v>1346500</v>
      </c>
      <c r="Z22">
        <v>3</v>
      </c>
      <c r="AA22">
        <v>0</v>
      </c>
      <c r="AB22">
        <v>599148869776</v>
      </c>
      <c r="AC22">
        <v>607027</v>
      </c>
      <c r="AD22">
        <v>869865040733178</v>
      </c>
      <c r="AE22">
        <v>7903234428</v>
      </c>
      <c r="AG22">
        <v>1.2</v>
      </c>
      <c r="AH22">
        <v>1.2</v>
      </c>
      <c r="AI22">
        <v>1E-3</v>
      </c>
    </row>
    <row r="23" spans="1:35" x14ac:dyDescent="0.25">
      <c r="A23">
        <v>2641</v>
      </c>
      <c r="B23" t="s">
        <v>193</v>
      </c>
      <c r="C23" t="s">
        <v>193</v>
      </c>
      <c r="D23" t="s">
        <v>64</v>
      </c>
      <c r="E23">
        <v>828</v>
      </c>
      <c r="F23" s="62">
        <v>43980</v>
      </c>
      <c r="G23">
        <v>1</v>
      </c>
      <c r="H23">
        <v>0</v>
      </c>
      <c r="I23">
        <v>7985698218</v>
      </c>
      <c r="J23">
        <v>0</v>
      </c>
      <c r="K23" t="s">
        <v>64</v>
      </c>
      <c r="L23" t="s">
        <v>64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991382245846</v>
      </c>
      <c r="AC23">
        <v>607085</v>
      </c>
      <c r="AD23">
        <v>353572081281504</v>
      </c>
      <c r="AE23">
        <v>7985698218</v>
      </c>
      <c r="AF23" t="s">
        <v>64</v>
      </c>
      <c r="AG23">
        <v>1.2</v>
      </c>
      <c r="AH23">
        <v>1.2</v>
      </c>
      <c r="AI23" t="s">
        <v>64</v>
      </c>
    </row>
    <row r="24" spans="1:35" x14ac:dyDescent="0.25">
      <c r="A24">
        <v>10007</v>
      </c>
      <c r="B24" t="s">
        <v>194</v>
      </c>
      <c r="C24" t="s">
        <v>194</v>
      </c>
      <c r="D24" t="s">
        <v>64</v>
      </c>
      <c r="E24">
        <v>2130</v>
      </c>
      <c r="F24" s="62">
        <v>44590</v>
      </c>
      <c r="G24">
        <v>1</v>
      </c>
      <c r="H24">
        <v>0</v>
      </c>
      <c r="I24">
        <v>7667042179</v>
      </c>
      <c r="J24">
        <v>0</v>
      </c>
      <c r="K24" t="s">
        <v>64</v>
      </c>
      <c r="L24" t="s">
        <v>64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316878</v>
      </c>
      <c r="V24">
        <v>62</v>
      </c>
      <c r="W24">
        <v>445</v>
      </c>
      <c r="X24">
        <v>12541152</v>
      </c>
      <c r="Y24">
        <v>344364</v>
      </c>
      <c r="Z24">
        <v>12</v>
      </c>
      <c r="AA24">
        <v>0</v>
      </c>
      <c r="AB24">
        <v>384505870090</v>
      </c>
      <c r="AC24">
        <v>607027</v>
      </c>
      <c r="AD24" t="s">
        <v>195</v>
      </c>
      <c r="AE24">
        <v>7667042179</v>
      </c>
      <c r="AG24">
        <v>1.2</v>
      </c>
      <c r="AH24">
        <v>1.2</v>
      </c>
      <c r="AI24" t="s">
        <v>64</v>
      </c>
    </row>
    <row r="25" spans="1:35" hidden="1" x14ac:dyDescent="0.25">
      <c r="A25">
        <v>1408</v>
      </c>
      <c r="B25" t="s">
        <v>196</v>
      </c>
      <c r="C25" t="s">
        <v>197</v>
      </c>
      <c r="D25" s="62">
        <v>43371</v>
      </c>
      <c r="E25">
        <v>9809</v>
      </c>
      <c r="F25" s="62">
        <v>43221</v>
      </c>
      <c r="G25">
        <v>1</v>
      </c>
      <c r="H25">
        <v>0</v>
      </c>
      <c r="I25">
        <v>8294636723</v>
      </c>
      <c r="J25">
        <v>0</v>
      </c>
      <c r="K25" t="s">
        <v>64</v>
      </c>
      <c r="L25" t="s">
        <v>64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64</v>
      </c>
      <c r="AC25" t="s">
        <v>64</v>
      </c>
      <c r="AD25" t="s">
        <v>64</v>
      </c>
      <c r="AE25" t="s">
        <v>64</v>
      </c>
      <c r="AF25" t="s">
        <v>64</v>
      </c>
      <c r="AG25">
        <v>1.2</v>
      </c>
      <c r="AH25">
        <v>0</v>
      </c>
      <c r="AI25" t="s">
        <v>64</v>
      </c>
    </row>
    <row r="26" spans="1:35" hidden="1" x14ac:dyDescent="0.25">
      <c r="A26">
        <v>1887</v>
      </c>
      <c r="B26" t="s">
        <v>198</v>
      </c>
      <c r="C26" t="s">
        <v>199</v>
      </c>
      <c r="D26" s="62">
        <v>42255</v>
      </c>
      <c r="E26">
        <v>2130</v>
      </c>
      <c r="F26" s="62">
        <v>42164</v>
      </c>
      <c r="G26">
        <v>1</v>
      </c>
      <c r="H26">
        <v>0</v>
      </c>
      <c r="I26">
        <v>7763811414</v>
      </c>
      <c r="J26">
        <v>0</v>
      </c>
      <c r="K26" t="s">
        <v>64</v>
      </c>
      <c r="L26" t="s">
        <v>64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64</v>
      </c>
      <c r="AC26" t="s">
        <v>64</v>
      </c>
      <c r="AD26" t="s">
        <v>64</v>
      </c>
      <c r="AE26" t="s">
        <v>64</v>
      </c>
      <c r="AF26" t="s">
        <v>64</v>
      </c>
      <c r="AG26">
        <v>1.2</v>
      </c>
      <c r="AH26">
        <v>0</v>
      </c>
      <c r="AI26" t="s">
        <v>64</v>
      </c>
    </row>
    <row r="27" spans="1:35" x14ac:dyDescent="0.25">
      <c r="A27">
        <v>1669</v>
      </c>
      <c r="B27" t="s">
        <v>200</v>
      </c>
      <c r="C27" t="s">
        <v>201</v>
      </c>
      <c r="D27" t="s">
        <v>64</v>
      </c>
      <c r="E27">
        <v>2130</v>
      </c>
      <c r="F27" s="62">
        <v>44590</v>
      </c>
      <c r="G27">
        <v>1</v>
      </c>
      <c r="H27">
        <v>1</v>
      </c>
      <c r="I27">
        <v>6393605439</v>
      </c>
      <c r="J27">
        <v>80010462</v>
      </c>
      <c r="K27" t="s">
        <v>64</v>
      </c>
      <c r="L27" t="s">
        <v>64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988207909193</v>
      </c>
      <c r="AC27">
        <v>607396</v>
      </c>
      <c r="AD27" t="s">
        <v>202</v>
      </c>
      <c r="AE27">
        <v>6393605439</v>
      </c>
      <c r="AG27">
        <v>1.2</v>
      </c>
      <c r="AH27">
        <v>1.2</v>
      </c>
      <c r="AI27" t="s">
        <v>64</v>
      </c>
    </row>
    <row r="28" spans="1:35" hidden="1" x14ac:dyDescent="0.25">
      <c r="A28">
        <v>16767</v>
      </c>
      <c r="B28" t="s">
        <v>203</v>
      </c>
      <c r="C28" t="s">
        <v>203</v>
      </c>
      <c r="D28" s="62">
        <v>43951</v>
      </c>
      <c r="E28">
        <v>9809</v>
      </c>
      <c r="F28" s="62">
        <v>43967</v>
      </c>
      <c r="G28">
        <v>1</v>
      </c>
      <c r="H28">
        <v>0</v>
      </c>
      <c r="I28">
        <v>0</v>
      </c>
      <c r="J28">
        <v>0</v>
      </c>
      <c r="K28" t="s">
        <v>64</v>
      </c>
      <c r="L28" t="s">
        <v>64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 t="s">
        <v>64</v>
      </c>
      <c r="X28" t="s">
        <v>64</v>
      </c>
      <c r="Y28" t="s">
        <v>64</v>
      </c>
      <c r="Z28" t="s">
        <v>64</v>
      </c>
      <c r="AA28">
        <v>0</v>
      </c>
      <c r="AB28" t="s">
        <v>64</v>
      </c>
      <c r="AC28" t="s">
        <v>64</v>
      </c>
      <c r="AD28" t="s">
        <v>64</v>
      </c>
      <c r="AE28" t="s">
        <v>64</v>
      </c>
      <c r="AF28" t="s">
        <v>64</v>
      </c>
      <c r="AG28">
        <v>1.2</v>
      </c>
      <c r="AH28">
        <v>0</v>
      </c>
      <c r="AI28" t="s">
        <v>64</v>
      </c>
    </row>
    <row r="29" spans="1:35" x14ac:dyDescent="0.25">
      <c r="A29">
        <v>1662</v>
      </c>
      <c r="B29" t="s">
        <v>204</v>
      </c>
      <c r="C29" t="s">
        <v>156</v>
      </c>
      <c r="D29" t="s">
        <v>64</v>
      </c>
      <c r="E29">
        <v>828</v>
      </c>
      <c r="F29" s="62">
        <v>43980</v>
      </c>
      <c r="G29">
        <v>1</v>
      </c>
      <c r="H29">
        <v>0</v>
      </c>
      <c r="I29">
        <v>8840978213</v>
      </c>
      <c r="J29">
        <v>0</v>
      </c>
      <c r="K29" t="s">
        <v>64</v>
      </c>
      <c r="L29" t="s">
        <v>64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320051027609</v>
      </c>
      <c r="AC29">
        <v>607153</v>
      </c>
      <c r="AD29">
        <v>865241033734397</v>
      </c>
      <c r="AE29">
        <v>8840978213</v>
      </c>
      <c r="AF29" t="s">
        <v>64</v>
      </c>
      <c r="AG29">
        <v>1.2</v>
      </c>
      <c r="AH29">
        <v>1.2</v>
      </c>
      <c r="AI29" t="s">
        <v>64</v>
      </c>
    </row>
    <row r="30" spans="1:35" x14ac:dyDescent="0.25">
      <c r="A30">
        <v>5521</v>
      </c>
      <c r="B30" t="s">
        <v>205</v>
      </c>
      <c r="C30" t="s">
        <v>206</v>
      </c>
      <c r="D30" t="s">
        <v>64</v>
      </c>
      <c r="E30">
        <v>9809</v>
      </c>
      <c r="F30" s="62">
        <v>44427</v>
      </c>
      <c r="G30">
        <v>1</v>
      </c>
      <c r="H30">
        <v>0</v>
      </c>
      <c r="I30">
        <v>8340345495</v>
      </c>
      <c r="J30">
        <v>0</v>
      </c>
      <c r="K30" t="s">
        <v>64</v>
      </c>
      <c r="L30" t="s">
        <v>64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565948059074</v>
      </c>
      <c r="AC30" t="s">
        <v>207</v>
      </c>
      <c r="AD30">
        <v>865868045143272</v>
      </c>
      <c r="AE30">
        <v>8340345495</v>
      </c>
      <c r="AG30">
        <v>1.2</v>
      </c>
      <c r="AH30">
        <v>1.2</v>
      </c>
      <c r="AI30" t="s">
        <v>64</v>
      </c>
    </row>
    <row r="31" spans="1:35" x14ac:dyDescent="0.25">
      <c r="A31">
        <v>2011</v>
      </c>
      <c r="B31" t="s">
        <v>208</v>
      </c>
      <c r="C31" t="s">
        <v>208</v>
      </c>
      <c r="D31" t="s">
        <v>64</v>
      </c>
      <c r="E31">
        <v>828</v>
      </c>
      <c r="F31" s="62">
        <v>43980</v>
      </c>
      <c r="G31">
        <v>1</v>
      </c>
      <c r="H31">
        <v>1</v>
      </c>
      <c r="I31">
        <v>9140050911</v>
      </c>
      <c r="J31">
        <v>80010391</v>
      </c>
      <c r="K31" t="s">
        <v>64</v>
      </c>
      <c r="L31" t="s">
        <v>64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695950908000</v>
      </c>
      <c r="AC31">
        <v>607094</v>
      </c>
      <c r="AD31">
        <v>865158032739112</v>
      </c>
      <c r="AE31">
        <v>9140050911</v>
      </c>
      <c r="AF31" t="s">
        <v>64</v>
      </c>
      <c r="AG31">
        <v>1.2</v>
      </c>
      <c r="AH31">
        <v>1.2</v>
      </c>
      <c r="AI31" t="s">
        <v>64</v>
      </c>
    </row>
    <row r="32" spans="1:35" x14ac:dyDescent="0.25">
      <c r="A32">
        <v>9650</v>
      </c>
      <c r="B32" t="s">
        <v>209</v>
      </c>
      <c r="C32" t="s">
        <v>209</v>
      </c>
      <c r="D32" t="s">
        <v>64</v>
      </c>
      <c r="E32">
        <v>9809</v>
      </c>
      <c r="F32" s="62">
        <v>44428</v>
      </c>
      <c r="G32">
        <v>1</v>
      </c>
      <c r="H32">
        <v>0</v>
      </c>
      <c r="I32">
        <v>0</v>
      </c>
      <c r="J32">
        <v>0</v>
      </c>
      <c r="K32" t="s">
        <v>64</v>
      </c>
      <c r="L32" t="s">
        <v>64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580065</v>
      </c>
      <c r="V32">
        <v>89</v>
      </c>
      <c r="W32">
        <v>463</v>
      </c>
      <c r="X32">
        <v>12630279</v>
      </c>
      <c r="Y32">
        <v>719000</v>
      </c>
      <c r="Z32">
        <v>8</v>
      </c>
      <c r="AA32">
        <v>0</v>
      </c>
      <c r="AB32" t="s">
        <v>64</v>
      </c>
      <c r="AC32" t="s">
        <v>64</v>
      </c>
      <c r="AD32" t="s">
        <v>210</v>
      </c>
      <c r="AE32">
        <v>8808511361</v>
      </c>
      <c r="AG32">
        <v>1.2</v>
      </c>
      <c r="AH32">
        <v>1.2</v>
      </c>
      <c r="AI32" t="s">
        <v>64</v>
      </c>
    </row>
    <row r="33" spans="1:35" hidden="1" x14ac:dyDescent="0.25">
      <c r="A33">
        <v>4676</v>
      </c>
      <c r="B33" t="s">
        <v>211</v>
      </c>
      <c r="C33" t="s">
        <v>211</v>
      </c>
      <c r="D33" s="62">
        <v>44422</v>
      </c>
      <c r="E33">
        <v>9809</v>
      </c>
      <c r="F33" s="62">
        <v>43061</v>
      </c>
      <c r="G33">
        <v>1</v>
      </c>
      <c r="H33">
        <v>0</v>
      </c>
      <c r="I33">
        <v>8825113861</v>
      </c>
      <c r="J33">
        <v>0</v>
      </c>
      <c r="K33" t="s">
        <v>64</v>
      </c>
      <c r="L33" t="s">
        <v>64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272107902995</v>
      </c>
      <c r="AC33">
        <v>607094</v>
      </c>
      <c r="AD33">
        <v>862926047687614</v>
      </c>
      <c r="AE33">
        <v>8825113861</v>
      </c>
      <c r="AF33" t="s">
        <v>64</v>
      </c>
      <c r="AG33">
        <v>1.2</v>
      </c>
      <c r="AH33">
        <v>1.2</v>
      </c>
      <c r="AI33" t="s">
        <v>64</v>
      </c>
    </row>
    <row r="34" spans="1:35" hidden="1" x14ac:dyDescent="0.25">
      <c r="A34">
        <v>3718</v>
      </c>
      <c r="B34" t="s">
        <v>212</v>
      </c>
      <c r="C34" t="s">
        <v>213</v>
      </c>
      <c r="D34" s="62">
        <v>42371</v>
      </c>
      <c r="E34">
        <v>9809</v>
      </c>
      <c r="F34" s="62">
        <v>42164</v>
      </c>
      <c r="G34">
        <v>1</v>
      </c>
      <c r="H34">
        <v>0</v>
      </c>
      <c r="I34">
        <v>8292955594</v>
      </c>
      <c r="J34">
        <v>0</v>
      </c>
      <c r="K34" t="s">
        <v>64</v>
      </c>
      <c r="L34" t="s">
        <v>64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t="s">
        <v>64</v>
      </c>
      <c r="AC34" t="s">
        <v>64</v>
      </c>
      <c r="AD34" t="s">
        <v>64</v>
      </c>
      <c r="AE34" t="s">
        <v>64</v>
      </c>
      <c r="AF34" t="s">
        <v>64</v>
      </c>
      <c r="AG34">
        <v>1.2</v>
      </c>
      <c r="AH34">
        <v>0</v>
      </c>
      <c r="AI34" t="s">
        <v>64</v>
      </c>
    </row>
    <row r="35" spans="1:35" x14ac:dyDescent="0.25">
      <c r="A35">
        <v>3022</v>
      </c>
      <c r="B35" t="s">
        <v>214</v>
      </c>
      <c r="C35" t="s">
        <v>214</v>
      </c>
      <c r="D35" t="s">
        <v>64</v>
      </c>
      <c r="E35">
        <v>828</v>
      </c>
      <c r="F35" s="62">
        <v>43980</v>
      </c>
      <c r="G35">
        <v>1</v>
      </c>
      <c r="H35">
        <v>0</v>
      </c>
      <c r="I35">
        <v>9304375067</v>
      </c>
      <c r="J35">
        <v>0</v>
      </c>
      <c r="K35" t="s">
        <v>64</v>
      </c>
      <c r="L35" t="s">
        <v>64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287539673563</v>
      </c>
      <c r="AC35">
        <v>607085</v>
      </c>
      <c r="AD35" t="s">
        <v>215</v>
      </c>
      <c r="AE35">
        <v>9304375067</v>
      </c>
      <c r="AF35" t="s">
        <v>64</v>
      </c>
      <c r="AG35">
        <v>1.2</v>
      </c>
      <c r="AH35">
        <v>1.2</v>
      </c>
      <c r="AI35" t="s">
        <v>64</v>
      </c>
    </row>
    <row r="36" spans="1:35" x14ac:dyDescent="0.25">
      <c r="A36">
        <v>11621</v>
      </c>
      <c r="B36" t="s">
        <v>216</v>
      </c>
      <c r="C36" t="s">
        <v>217</v>
      </c>
      <c r="D36" t="s">
        <v>64</v>
      </c>
      <c r="E36">
        <v>2130</v>
      </c>
      <c r="F36" s="62">
        <v>44590</v>
      </c>
      <c r="G36">
        <v>1</v>
      </c>
      <c r="H36">
        <v>0</v>
      </c>
      <c r="I36">
        <v>8318784926</v>
      </c>
      <c r="J36">
        <v>0</v>
      </c>
      <c r="K36" t="s">
        <v>64</v>
      </c>
      <c r="L36" t="s">
        <v>64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517</v>
      </c>
      <c r="X36">
        <v>15908493</v>
      </c>
      <c r="Y36">
        <v>500000</v>
      </c>
      <c r="Z36">
        <v>20</v>
      </c>
      <c r="AA36">
        <v>0</v>
      </c>
      <c r="AB36">
        <v>740062156441</v>
      </c>
      <c r="AC36">
        <v>608112</v>
      </c>
      <c r="AD36">
        <v>861001045904212</v>
      </c>
      <c r="AE36">
        <v>8318784926</v>
      </c>
      <c r="AG36">
        <v>1.2</v>
      </c>
      <c r="AH36">
        <v>1.2</v>
      </c>
      <c r="AI36">
        <v>0</v>
      </c>
    </row>
  </sheetData>
  <autoFilter ref="A1:AI36" xr:uid="{00000000-0009-0000-0000-000002000000}">
    <filterColumn colId="3">
      <filters>
        <filter val="NUL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0"/>
  <sheetViews>
    <sheetView tabSelected="1" zoomScale="77" zoomScaleNormal="77" workbookViewId="0">
      <pane ySplit="1" topLeftCell="A2" activePane="bottomLeft" state="frozen"/>
      <selection pane="bottomLeft" activeCell="G17" sqref="G17"/>
    </sheetView>
  </sheetViews>
  <sheetFormatPr defaultRowHeight="15" outlineLevelRow="2" x14ac:dyDescent="0.25"/>
  <cols>
    <col min="1" max="1" width="15.42578125" bestFit="1" customWidth="1"/>
    <col min="2" max="2" width="9" bestFit="1" customWidth="1"/>
    <col min="3" max="3" width="5.7109375" style="4" bestFit="1" customWidth="1"/>
    <col min="4" max="4" width="28.140625" bestFit="1" customWidth="1"/>
    <col min="5" max="5" width="15.42578125" bestFit="1" customWidth="1"/>
    <col min="6" max="6" width="12.140625" bestFit="1" customWidth="1"/>
    <col min="7" max="7" width="21" bestFit="1" customWidth="1"/>
    <col min="8" max="8" width="17.7109375" bestFit="1" customWidth="1"/>
    <col min="9" max="9" width="11.28515625" bestFit="1" customWidth="1"/>
    <col min="10" max="10" width="10.5703125" bestFit="1" customWidth="1"/>
    <col min="11" max="11" width="7.5703125" bestFit="1" customWidth="1"/>
    <col min="12" max="12" width="8" bestFit="1" customWidth="1"/>
    <col min="13" max="13" width="16.5703125" bestFit="1" customWidth="1"/>
  </cols>
  <sheetData>
    <row r="1" spans="1:14" s="3" customFormat="1" ht="22.5" customHeight="1" x14ac:dyDescent="0.25">
      <c r="A1" s="59" t="s">
        <v>22</v>
      </c>
      <c r="B1" s="60" t="s">
        <v>37</v>
      </c>
      <c r="C1" s="61" t="s">
        <v>38</v>
      </c>
      <c r="D1" s="59" t="s">
        <v>39</v>
      </c>
      <c r="E1" s="59" t="s">
        <v>40</v>
      </c>
      <c r="F1" s="59" t="s">
        <v>41</v>
      </c>
      <c r="G1" s="59" t="s">
        <v>42</v>
      </c>
      <c r="H1" s="59" t="s">
        <v>43</v>
      </c>
      <c r="I1" s="59" t="s">
        <v>44</v>
      </c>
      <c r="J1" s="59" t="s">
        <v>45</v>
      </c>
      <c r="K1" s="59" t="s">
        <v>46</v>
      </c>
      <c r="L1" s="59" t="s">
        <v>47</v>
      </c>
      <c r="M1" s="59" t="s">
        <v>48</v>
      </c>
    </row>
    <row r="2" spans="1:14" outlineLevel="2" x14ac:dyDescent="0.25">
      <c r="A2" s="64" t="str">
        <f>'Pendency (2)'!A2</f>
        <v>Damodarpur</v>
      </c>
      <c r="B2" s="64" t="str">
        <f>'Pendency (2)'!B2</f>
        <v>21:01</v>
      </c>
      <c r="C2" s="64" t="str">
        <f>'Pendency (2)'!C2</f>
        <v>0729</v>
      </c>
      <c r="D2" s="64" t="str">
        <f>'Pendency (2)'!D2</f>
        <v xml:space="preserve">Mr  Kamlesh Kumar Singh </v>
      </c>
      <c r="E2" s="64">
        <f>'Pendency (2)'!E2</f>
        <v>6</v>
      </c>
      <c r="F2" s="64">
        <f>'Pendency (2)'!F2</f>
        <v>280000</v>
      </c>
      <c r="G2" s="64">
        <f>'Pendency (2)'!G2</f>
        <v>5</v>
      </c>
      <c r="H2" s="64">
        <f>'Pendency (2)'!H2</f>
        <v>250000</v>
      </c>
      <c r="I2" s="64">
        <f>'Pendency (2)'!I2</f>
        <v>2</v>
      </c>
      <c r="J2" s="64">
        <f>'Pendency (2)'!J2</f>
        <v>1038</v>
      </c>
      <c r="K2" s="64">
        <f>'Pendency (2)'!K2</f>
        <v>83.33</v>
      </c>
      <c r="L2" s="64">
        <f>'Pendency (2)'!L2</f>
        <v>89.29</v>
      </c>
      <c r="M2" s="64" t="str">
        <f>'Pendency (2)'!M2</f>
        <v>DayClose</v>
      </c>
    </row>
    <row r="3" spans="1:14" outlineLevel="2" x14ac:dyDescent="0.25">
      <c r="A3" s="64" t="str">
        <f>'Pendency (2)'!A3</f>
        <v>Sakari Saraiya</v>
      </c>
      <c r="B3" s="64" t="str">
        <f>'Pendency (2)'!B3</f>
        <v>21:16</v>
      </c>
      <c r="C3" s="64" t="str">
        <f>'Pendency (2)'!C3</f>
        <v>0729</v>
      </c>
      <c r="D3" s="64" t="str">
        <f>'Pendency (2)'!D3</f>
        <v xml:space="preserve">Mr  Kamlesh Kumar Singh </v>
      </c>
      <c r="E3" s="64">
        <f>'Pendency (2)'!E3</f>
        <v>4</v>
      </c>
      <c r="F3" s="64">
        <f>'Pendency (2)'!F3</f>
        <v>120000</v>
      </c>
      <c r="G3" s="64">
        <f>'Pendency (2)'!G3</f>
        <v>4</v>
      </c>
      <c r="H3" s="64">
        <f>'Pendency (2)'!H3</f>
        <v>120000</v>
      </c>
      <c r="I3" s="64">
        <f>'Pendency (2)'!I3</f>
        <v>7</v>
      </c>
      <c r="J3" s="64">
        <f>'Pendency (2)'!J3</f>
        <v>621</v>
      </c>
      <c r="K3" s="64">
        <f>'Pendency (2)'!K3</f>
        <v>100</v>
      </c>
      <c r="L3" s="64">
        <f>'Pendency (2)'!L3</f>
        <v>100</v>
      </c>
      <c r="M3" s="64" t="str">
        <f>'Pendency (2)'!M3</f>
        <v>DayClosePending</v>
      </c>
    </row>
    <row r="4" spans="1:14" outlineLevel="2" x14ac:dyDescent="0.25">
      <c r="A4" s="64" t="str">
        <f>'Pendency (2)'!A4</f>
        <v>Karja</v>
      </c>
      <c r="B4" s="64" t="str">
        <f>'Pendency (2)'!B4</f>
        <v>21:02</v>
      </c>
      <c r="C4" s="64" t="str">
        <f>'Pendency (2)'!C4</f>
        <v>0729</v>
      </c>
      <c r="D4" s="64" t="str">
        <f>'Pendency (2)'!D4</f>
        <v xml:space="preserve">Mr  Kamlesh Kumar Singh </v>
      </c>
      <c r="E4" s="64">
        <f>'Pendency (2)'!E4</f>
        <v>24</v>
      </c>
      <c r="F4" s="64">
        <f>'Pendency (2)'!F4</f>
        <v>1280000</v>
      </c>
      <c r="G4" s="64">
        <f>'Pendency (2)'!G4</f>
        <v>15</v>
      </c>
      <c r="H4" s="64">
        <f>'Pendency (2)'!H4</f>
        <v>810000</v>
      </c>
      <c r="I4" s="64">
        <f>'Pendency (2)'!I4</f>
        <v>14</v>
      </c>
      <c r="J4" s="64">
        <f>'Pendency (2)'!J4</f>
        <v>1096</v>
      </c>
      <c r="K4" s="64">
        <f>'Pendency (2)'!K4</f>
        <v>62.5</v>
      </c>
      <c r="L4" s="64">
        <f>'Pendency (2)'!L4</f>
        <v>63.28</v>
      </c>
      <c r="M4" s="64" t="str">
        <f>'Pendency (2)'!M4</f>
        <v>DayClosePending</v>
      </c>
    </row>
    <row r="5" spans="1:14" outlineLevel="2" x14ac:dyDescent="0.25">
      <c r="A5" s="64" t="str">
        <f>'Pendency (2)'!A5</f>
        <v>Kurhani</v>
      </c>
      <c r="B5" s="64" t="str">
        <f>'Pendency (2)'!B5</f>
        <v>21:11</v>
      </c>
      <c r="C5" s="64" t="str">
        <f>'Pendency (2)'!C5</f>
        <v>0729</v>
      </c>
      <c r="D5" s="64" t="str">
        <f>'Pendency (2)'!D5</f>
        <v xml:space="preserve">Mr  Kamlesh Kumar Singh </v>
      </c>
      <c r="E5" s="64">
        <f>'Pendency (2)'!E5</f>
        <v>21</v>
      </c>
      <c r="F5" s="64">
        <f>'Pendency (2)'!F5</f>
        <v>986000</v>
      </c>
      <c r="G5" s="64">
        <f>'Pendency (2)'!G5</f>
        <v>4</v>
      </c>
      <c r="H5" s="64">
        <f>'Pendency (2)'!H5</f>
        <v>140000</v>
      </c>
      <c r="I5" s="64">
        <f>'Pendency (2)'!I5</f>
        <v>2</v>
      </c>
      <c r="J5" s="64">
        <f>'Pendency (2)'!J5</f>
        <v>114</v>
      </c>
      <c r="K5" s="64">
        <f>'Pendency (2)'!K5</f>
        <v>19.05</v>
      </c>
      <c r="L5" s="64">
        <f>'Pendency (2)'!L5</f>
        <v>14.2</v>
      </c>
      <c r="M5" s="64" t="str">
        <f>'Pendency (2)'!M5</f>
        <v>DayClosePending</v>
      </c>
    </row>
    <row r="6" spans="1:14" outlineLevel="2" x14ac:dyDescent="0.25">
      <c r="A6" s="64" t="str">
        <f>'Pendency (2)'!A6</f>
        <v>Goraul</v>
      </c>
      <c r="B6" s="64" t="str">
        <f>'Pendency (2)'!B6</f>
        <v>21:18</v>
      </c>
      <c r="C6" s="64" t="str">
        <f>'Pendency (2)'!C6</f>
        <v>0729</v>
      </c>
      <c r="D6" s="64" t="str">
        <f>'Pendency (2)'!D6</f>
        <v xml:space="preserve">Mr  Kamlesh Kumar Singh </v>
      </c>
      <c r="E6" s="64">
        <f>'Pendency (2)'!E6</f>
        <v>25</v>
      </c>
      <c r="F6" s="64">
        <f>'Pendency (2)'!F6</f>
        <v>1335000</v>
      </c>
      <c r="G6" s="64">
        <f>'Pendency (2)'!G6</f>
        <v>15</v>
      </c>
      <c r="H6" s="64">
        <f>'Pendency (2)'!H6</f>
        <v>880000</v>
      </c>
      <c r="I6" s="64">
        <f>'Pendency (2)'!I6</f>
        <v>2</v>
      </c>
      <c r="J6" s="64">
        <f>'Pendency (2)'!J6</f>
        <v>584</v>
      </c>
      <c r="K6" s="64">
        <f>'Pendency (2)'!K6</f>
        <v>60</v>
      </c>
      <c r="L6" s="64">
        <f>'Pendency (2)'!L6</f>
        <v>65.92</v>
      </c>
      <c r="M6" s="64" t="str">
        <f>'Pendency (2)'!M6</f>
        <v>DayClosePending</v>
      </c>
    </row>
    <row r="7" spans="1:14" outlineLevel="2" x14ac:dyDescent="0.25">
      <c r="A7" s="64" t="str">
        <f>'Pendency (2)'!A7</f>
        <v>Belsar</v>
      </c>
      <c r="B7" s="64" t="str">
        <f>'Pendency (2)'!B7</f>
        <v>21:21</v>
      </c>
      <c r="C7" s="64" t="str">
        <f>'Pendency (2)'!C7</f>
        <v>0729</v>
      </c>
      <c r="D7" s="64" t="str">
        <f>'Pendency (2)'!D7</f>
        <v xml:space="preserve">Mr  Kamlesh Kumar Singh </v>
      </c>
      <c r="E7" s="64">
        <f>'Pendency (2)'!E7</f>
        <v>15</v>
      </c>
      <c r="F7" s="64">
        <f>'Pendency (2)'!F7</f>
        <v>980000</v>
      </c>
      <c r="G7" s="64">
        <f>'Pendency (2)'!G7</f>
        <v>6</v>
      </c>
      <c r="H7" s="64">
        <f>'Pendency (2)'!H7</f>
        <v>520000</v>
      </c>
      <c r="I7" s="64">
        <f>'Pendency (2)'!I7</f>
        <v>11</v>
      </c>
      <c r="J7" s="64">
        <f>'Pendency (2)'!J7</f>
        <v>942</v>
      </c>
      <c r="K7" s="64">
        <f>'Pendency (2)'!K7</f>
        <v>40</v>
      </c>
      <c r="L7" s="64">
        <f>'Pendency (2)'!L7</f>
        <v>53.06</v>
      </c>
      <c r="M7" s="64" t="str">
        <f>'Pendency (2)'!M7</f>
        <v>DayClosePending</v>
      </c>
    </row>
    <row r="8" spans="1:14" outlineLevel="2" x14ac:dyDescent="0.25">
      <c r="A8" s="69"/>
      <c r="B8" s="70"/>
      <c r="C8" s="70"/>
      <c r="D8" s="69"/>
      <c r="E8" s="69">
        <f t="shared" ref="E8:J8" si="0">SUM(E2:E7)</f>
        <v>95</v>
      </c>
      <c r="F8" s="69">
        <f t="shared" si="0"/>
        <v>4981000</v>
      </c>
      <c r="G8" s="69">
        <f t="shared" si="0"/>
        <v>49</v>
      </c>
      <c r="H8" s="69">
        <f t="shared" si="0"/>
        <v>2720000</v>
      </c>
      <c r="I8" s="69">
        <f t="shared" si="0"/>
        <v>38</v>
      </c>
      <c r="J8" s="69">
        <f t="shared" si="0"/>
        <v>4395</v>
      </c>
      <c r="K8" s="71">
        <f>+G8/E8*100</f>
        <v>51.578947368421055</v>
      </c>
      <c r="L8" s="71">
        <f>+H8/F8*100</f>
        <v>54.607508532423211</v>
      </c>
      <c r="M8" s="69"/>
    </row>
    <row r="9" spans="1:14" outlineLevel="1" x14ac:dyDescent="0.25">
      <c r="A9" s="64" t="str">
        <f>'Pendency (2)'!A8</f>
        <v>Murual</v>
      </c>
      <c r="B9" s="64" t="str">
        <f>'Pendency (2)'!B8</f>
        <v>21:07</v>
      </c>
      <c r="C9" s="64" t="str">
        <f>'Pendency (2)'!C8</f>
        <v>4299</v>
      </c>
      <c r="D9" s="64" t="str">
        <f>'Pendency (2)'!D8</f>
        <v xml:space="preserve">Mr Dharmatma Kumar Manjhi </v>
      </c>
      <c r="E9" s="64">
        <f>'Pendency (2)'!E8</f>
        <v>16</v>
      </c>
      <c r="F9" s="64">
        <f>'Pendency (2)'!F8</f>
        <v>800000</v>
      </c>
      <c r="G9" s="64">
        <f>'Pendency (2)'!G8</f>
        <v>8</v>
      </c>
      <c r="H9" s="64">
        <f>'Pendency (2)'!H8</f>
        <v>430000</v>
      </c>
      <c r="I9" s="64">
        <f>'Pendency (2)'!I8</f>
        <v>0</v>
      </c>
      <c r="J9" s="64">
        <f>'Pendency (2)'!J8</f>
        <v>0</v>
      </c>
      <c r="K9" s="64">
        <f>'Pendency (2)'!K8</f>
        <v>50</v>
      </c>
      <c r="L9" s="64">
        <f>'Pendency (2)'!L8</f>
        <v>53.75</v>
      </c>
      <c r="M9" s="64" t="str">
        <f>'Pendency (2)'!M8</f>
        <v>DayClosePending</v>
      </c>
    </row>
    <row r="10" spans="1:14" outlineLevel="2" x14ac:dyDescent="0.25">
      <c r="A10" s="64" t="str">
        <f>'Pendency (2)'!A9</f>
        <v>Hayaghat</v>
      </c>
      <c r="B10" s="64" t="str">
        <f>'Pendency (2)'!B9</f>
        <v>21:27</v>
      </c>
      <c r="C10" s="64">
        <f>'Pendency (2)'!C9</f>
        <v>4299</v>
      </c>
      <c r="D10" s="64" t="str">
        <f>'Pendency (2)'!D9</f>
        <v xml:space="preserve">Mr Dharmatma Kumar Manjhi </v>
      </c>
      <c r="E10" s="64">
        <f>'Pendency (2)'!E9</f>
        <v>12</v>
      </c>
      <c r="F10" s="64">
        <f>'Pendency (2)'!F9</f>
        <v>670000</v>
      </c>
      <c r="G10" s="64">
        <f>'Pendency (2)'!G9</f>
        <v>7</v>
      </c>
      <c r="H10" s="64">
        <f>'Pendency (2)'!H9</f>
        <v>460000</v>
      </c>
      <c r="I10" s="64">
        <f>'Pendency (2)'!I9</f>
        <v>0</v>
      </c>
      <c r="J10" s="64">
        <f>'Pendency (2)'!J9</f>
        <v>0</v>
      </c>
      <c r="K10" s="64">
        <f>'Pendency (2)'!K9</f>
        <v>58.33</v>
      </c>
      <c r="L10" s="64">
        <f>'Pendency (2)'!L9</f>
        <v>68.66</v>
      </c>
      <c r="M10" s="64" t="str">
        <f>'Pendency (2)'!M9</f>
        <v>DayClosePending</v>
      </c>
    </row>
    <row r="11" spans="1:14" outlineLevel="2" x14ac:dyDescent="0.25">
      <c r="A11" s="64" t="str">
        <f>'Pendency (2)'!A10</f>
        <v>Mahanth Maniyari</v>
      </c>
      <c r="B11" s="64" t="str">
        <f>'Pendency (2)'!B10</f>
        <v>21:17</v>
      </c>
      <c r="C11" s="64" t="str">
        <f>'Pendency (2)'!C10</f>
        <v>4299</v>
      </c>
      <c r="D11" s="64" t="str">
        <f>'Pendency (2)'!D10</f>
        <v xml:space="preserve">Mr Dharmatma Kumar Manjhi </v>
      </c>
      <c r="E11" s="64">
        <f>'Pendency (2)'!E10</f>
        <v>16</v>
      </c>
      <c r="F11" s="64">
        <f>'Pendency (2)'!F10</f>
        <v>680000</v>
      </c>
      <c r="G11" s="64">
        <f>'Pendency (2)'!G10</f>
        <v>7</v>
      </c>
      <c r="H11" s="64">
        <f>'Pendency (2)'!H10</f>
        <v>350000</v>
      </c>
      <c r="I11" s="64">
        <f>'Pendency (2)'!I10</f>
        <v>0</v>
      </c>
      <c r="J11" s="64">
        <f>'Pendency (2)'!J10</f>
        <v>0</v>
      </c>
      <c r="K11" s="64">
        <f>'Pendency (2)'!K10</f>
        <v>43.75</v>
      </c>
      <c r="L11" s="64">
        <f>'Pendency (2)'!L10</f>
        <v>51.47</v>
      </c>
      <c r="M11" s="64" t="str">
        <f>'Pendency (2)'!M10</f>
        <v>DayClosePending</v>
      </c>
    </row>
    <row r="12" spans="1:14" outlineLevel="2" x14ac:dyDescent="0.25">
      <c r="A12" s="64" t="str">
        <f>'Pendency (2)'!A11</f>
        <v>Pear</v>
      </c>
      <c r="B12" s="64" t="str">
        <f>'Pendency (2)'!B11</f>
        <v>21:09</v>
      </c>
      <c r="C12" s="64" t="str">
        <f>'Pendency (2)'!C11</f>
        <v>4299</v>
      </c>
      <c r="D12" s="64" t="str">
        <f>'Pendency (2)'!D11</f>
        <v xml:space="preserve">Mr Dharmatma Kumar Manjhi </v>
      </c>
      <c r="E12" s="64">
        <f>'Pendency (2)'!E11</f>
        <v>10</v>
      </c>
      <c r="F12" s="64">
        <f>'Pendency (2)'!F11</f>
        <v>590000</v>
      </c>
      <c r="G12" s="64">
        <f>'Pendency (2)'!G11</f>
        <v>5</v>
      </c>
      <c r="H12" s="64">
        <f>'Pendency (2)'!H11</f>
        <v>310000</v>
      </c>
      <c r="I12" s="64">
        <f>'Pendency (2)'!I11</f>
        <v>0</v>
      </c>
      <c r="J12" s="64">
        <f>'Pendency (2)'!J11</f>
        <v>0</v>
      </c>
      <c r="K12" s="64">
        <f>'Pendency (2)'!K11</f>
        <v>50</v>
      </c>
      <c r="L12" s="64">
        <f>'Pendency (2)'!L11</f>
        <v>52.54</v>
      </c>
      <c r="M12" s="64" t="str">
        <f>'Pendency (2)'!M11</f>
        <v>DayClosePending</v>
      </c>
    </row>
    <row r="13" spans="1:14" outlineLevel="2" x14ac:dyDescent="0.25">
      <c r="A13" s="64" t="str">
        <f>'Pendency (2)'!A12</f>
        <v>Hanuman Nagar</v>
      </c>
      <c r="B13" s="64" t="str">
        <f>'Pendency (2)'!B12</f>
        <v>21:25</v>
      </c>
      <c r="C13" s="64" t="str">
        <f>'Pendency (2)'!C12</f>
        <v>4299</v>
      </c>
      <c r="D13" s="64" t="str">
        <f>'Pendency (2)'!D12</f>
        <v xml:space="preserve">Mr Dharmatma Kumar Manjhi </v>
      </c>
      <c r="E13" s="64">
        <f>'Pendency (2)'!E12</f>
        <v>18</v>
      </c>
      <c r="F13" s="64">
        <f>'Pendency (2)'!F12</f>
        <v>930000</v>
      </c>
      <c r="G13" s="64">
        <f>'Pendency (2)'!G12</f>
        <v>9</v>
      </c>
      <c r="H13" s="64">
        <f>'Pendency (2)'!H12</f>
        <v>460000</v>
      </c>
      <c r="I13" s="64">
        <f>'Pendency (2)'!I12</f>
        <v>0</v>
      </c>
      <c r="J13" s="64">
        <f>'Pendency (2)'!J12</f>
        <v>0</v>
      </c>
      <c r="K13" s="64">
        <f>'Pendency (2)'!K12</f>
        <v>50</v>
      </c>
      <c r="L13" s="64">
        <f>'Pendency (2)'!L12</f>
        <v>49.46</v>
      </c>
      <c r="M13" s="64" t="str">
        <f>'Pendency (2)'!M12</f>
        <v>DayClosePending</v>
      </c>
    </row>
    <row r="14" spans="1:14" outlineLevel="2" x14ac:dyDescent="0.25">
      <c r="A14" s="64" t="str">
        <f>'Pendency (2)'!A13</f>
        <v>Patepur</v>
      </c>
      <c r="B14" s="64" t="str">
        <f>'Pendency (2)'!B13</f>
        <v>21:20</v>
      </c>
      <c r="C14" s="64" t="str">
        <f>'Pendency (2)'!C13</f>
        <v>4299</v>
      </c>
      <c r="D14" s="64" t="str">
        <f>'Pendency (2)'!D13</f>
        <v xml:space="preserve">Mr Dharmatma Kumar Manjhi </v>
      </c>
      <c r="E14" s="64">
        <f>'Pendency (2)'!E13</f>
        <v>17</v>
      </c>
      <c r="F14" s="64">
        <f>'Pendency (2)'!F13</f>
        <v>1060000</v>
      </c>
      <c r="G14" s="64">
        <f>'Pendency (2)'!G13</f>
        <v>10</v>
      </c>
      <c r="H14" s="64">
        <f>'Pendency (2)'!H13</f>
        <v>650000</v>
      </c>
      <c r="I14" s="64">
        <f>'Pendency (2)'!I13</f>
        <v>1</v>
      </c>
      <c r="J14" s="64">
        <f>'Pendency (2)'!J13</f>
        <v>20</v>
      </c>
      <c r="K14" s="64">
        <f>'Pendency (2)'!K13</f>
        <v>58.82</v>
      </c>
      <c r="L14" s="64">
        <f>'Pendency (2)'!L13</f>
        <v>61.32</v>
      </c>
      <c r="M14" s="64" t="str">
        <f>'Pendency (2)'!M13</f>
        <v>DayClosePending</v>
      </c>
      <c r="N14" s="48"/>
    </row>
    <row r="15" spans="1:14" outlineLevel="2" x14ac:dyDescent="0.25">
      <c r="A15" s="69"/>
      <c r="B15" s="70"/>
      <c r="C15" s="70"/>
      <c r="D15" s="69"/>
      <c r="E15" s="69">
        <f>SUM(E9:E14)</f>
        <v>89</v>
      </c>
      <c r="F15" s="69">
        <f>SUM(F9:F14)</f>
        <v>4730000</v>
      </c>
      <c r="G15" s="69">
        <f>SUM(G9:G14)</f>
        <v>46</v>
      </c>
      <c r="H15" s="69">
        <f t="shared" ref="H15" si="1">SUM(H9:H14)</f>
        <v>2660000</v>
      </c>
      <c r="I15" s="69">
        <f t="shared" ref="I15" si="2">SUM(I9:I14)</f>
        <v>1</v>
      </c>
      <c r="J15" s="69">
        <f t="shared" ref="J15" si="3">SUM(J9:J14)</f>
        <v>20</v>
      </c>
      <c r="K15" s="71">
        <f>+G15/E15*100</f>
        <v>51.68539325842697</v>
      </c>
      <c r="L15" s="71">
        <f>+H15/F15*100</f>
        <v>56.236786469344615</v>
      </c>
      <c r="M15" s="69"/>
    </row>
    <row r="16" spans="1:14" outlineLevel="2" x14ac:dyDescent="0.25">
      <c r="A16" s="64" t="str">
        <f>'Pendency (2)'!A14</f>
        <v>Jhapaha</v>
      </c>
      <c r="B16" s="64" t="str">
        <f>'Pendency (2)'!B14</f>
        <v>21:19</v>
      </c>
      <c r="C16" s="64" t="str">
        <f>'Pendency (2)'!C14</f>
        <v>4724</v>
      </c>
      <c r="D16" s="64" t="str">
        <f>'Pendency (2)'!D14</f>
        <v xml:space="preserve">Mr Subhash Chandra Gupta </v>
      </c>
      <c r="E16" s="64">
        <f>'Pendency (2)'!E14</f>
        <v>9</v>
      </c>
      <c r="F16" s="64">
        <f>'Pendency (2)'!F14</f>
        <v>610000</v>
      </c>
      <c r="G16" s="64">
        <f>'Pendency (2)'!G14</f>
        <v>3</v>
      </c>
      <c r="H16" s="64">
        <f>'Pendency (2)'!H14</f>
        <v>170000</v>
      </c>
      <c r="I16" s="64">
        <f>'Pendency (2)'!I14</f>
        <v>2</v>
      </c>
      <c r="J16" s="64">
        <f>'Pendency (2)'!J14</f>
        <v>2000</v>
      </c>
      <c r="K16" s="64">
        <f>'Pendency (2)'!K14</f>
        <v>33.33</v>
      </c>
      <c r="L16" s="64">
        <f>'Pendency (2)'!L14</f>
        <v>27.87</v>
      </c>
      <c r="M16" s="64" t="str">
        <f>'Pendency (2)'!M14</f>
        <v>DayClosePending</v>
      </c>
    </row>
    <row r="17" spans="1:13" outlineLevel="1" x14ac:dyDescent="0.25">
      <c r="A17" s="64" t="str">
        <f>'Pendency (2)'!A15</f>
        <v>Phulwariya</v>
      </c>
      <c r="B17" s="64" t="str">
        <f>'Pendency (2)'!B15</f>
        <v>21:13</v>
      </c>
      <c r="C17" s="64" t="str">
        <f>'Pendency (2)'!C15</f>
        <v>4724</v>
      </c>
      <c r="D17" s="64" t="str">
        <f>'Pendency (2)'!D15</f>
        <v xml:space="preserve">Mr Subhash Chandra Gupta </v>
      </c>
      <c r="E17" s="64">
        <f>'Pendency (2)'!E15</f>
        <v>10</v>
      </c>
      <c r="F17" s="64">
        <f>'Pendency (2)'!F15</f>
        <v>680000</v>
      </c>
      <c r="G17" s="64">
        <f>'Pendency (2)'!G15</f>
        <v>5</v>
      </c>
      <c r="H17" s="64">
        <f>'Pendency (2)'!H15</f>
        <v>300000</v>
      </c>
      <c r="I17" s="64">
        <f>'Pendency (2)'!I15</f>
        <v>0</v>
      </c>
      <c r="J17" s="64">
        <f>'Pendency (2)'!J15</f>
        <v>0</v>
      </c>
      <c r="K17" s="64">
        <f>'Pendency (2)'!K15</f>
        <v>50</v>
      </c>
      <c r="L17" s="64">
        <f>'Pendency (2)'!L15</f>
        <v>44.12</v>
      </c>
      <c r="M17" s="64" t="str">
        <f>'Pendency (2)'!M15</f>
        <v>DayClosePending</v>
      </c>
    </row>
    <row r="18" spans="1:13" outlineLevel="2" x14ac:dyDescent="0.25">
      <c r="A18" s="64" t="str">
        <f>'Pendency (2)'!A16</f>
        <v>Dewariya</v>
      </c>
      <c r="B18" s="64" t="str">
        <f>'Pendency (2)'!B16</f>
        <v>21:14</v>
      </c>
      <c r="C18" s="64" t="str">
        <f>'Pendency (2)'!C16</f>
        <v>4724</v>
      </c>
      <c r="D18" s="64" t="str">
        <f>'Pendency (2)'!D16</f>
        <v xml:space="preserve">Mr Subhash Chandra Gupta </v>
      </c>
      <c r="E18" s="64">
        <f>'Pendency (2)'!E16</f>
        <v>22</v>
      </c>
      <c r="F18" s="64">
        <f>'Pendency (2)'!F16</f>
        <v>1210000</v>
      </c>
      <c r="G18" s="64">
        <f>'Pendency (2)'!G16</f>
        <v>13</v>
      </c>
      <c r="H18" s="64">
        <f>'Pendency (2)'!H16</f>
        <v>690000</v>
      </c>
      <c r="I18" s="64">
        <f>'Pendency (2)'!I16</f>
        <v>0</v>
      </c>
      <c r="J18" s="64">
        <f>'Pendency (2)'!J16</f>
        <v>0</v>
      </c>
      <c r="K18" s="64">
        <f>'Pendency (2)'!K16</f>
        <v>59.09</v>
      </c>
      <c r="L18" s="64">
        <f>'Pendency (2)'!L16</f>
        <v>57.02</v>
      </c>
      <c r="M18" s="64" t="str">
        <f>'Pendency (2)'!M16</f>
        <v>DayClosePending</v>
      </c>
    </row>
    <row r="19" spans="1:13" outlineLevel="2" x14ac:dyDescent="0.25">
      <c r="A19" s="64" t="str">
        <f>'Pendency (2)'!A17</f>
        <v>Runnisaidpur</v>
      </c>
      <c r="B19" s="64" t="str">
        <f>'Pendency (2)'!B17</f>
        <v>21:22</v>
      </c>
      <c r="C19" s="64" t="str">
        <f>'Pendency (2)'!C17</f>
        <v>4724</v>
      </c>
      <c r="D19" s="64" t="str">
        <f>'Pendency (2)'!D17</f>
        <v xml:space="preserve">Mr Subhash Chandra Gupta </v>
      </c>
      <c r="E19" s="64">
        <f>'Pendency (2)'!E17</f>
        <v>25</v>
      </c>
      <c r="F19" s="64">
        <f>'Pendency (2)'!F17</f>
        <v>1680000</v>
      </c>
      <c r="G19" s="64">
        <f>'Pendency (2)'!G17</f>
        <v>21</v>
      </c>
      <c r="H19" s="64">
        <f>'Pendency (2)'!H17</f>
        <v>1450000</v>
      </c>
      <c r="I19" s="64">
        <f>'Pendency (2)'!I17</f>
        <v>1</v>
      </c>
      <c r="J19" s="64">
        <f>'Pendency (2)'!J17</f>
        <v>695</v>
      </c>
      <c r="K19" s="64">
        <f>'Pendency (2)'!K17</f>
        <v>84</v>
      </c>
      <c r="L19" s="64">
        <f>'Pendency (2)'!L17</f>
        <v>86.31</v>
      </c>
      <c r="M19" s="64" t="str">
        <f>'Pendency (2)'!M17</f>
        <v>DayClosePending</v>
      </c>
    </row>
    <row r="20" spans="1:13" outlineLevel="2" x14ac:dyDescent="0.25">
      <c r="A20" s="64" t="str">
        <f>'Pendency (2)'!A18</f>
        <v>Motipur</v>
      </c>
      <c r="B20" s="64" t="str">
        <f>'Pendency (2)'!B18</f>
        <v>21:06</v>
      </c>
      <c r="C20" s="64" t="str">
        <f>'Pendency (2)'!C18</f>
        <v>4724</v>
      </c>
      <c r="D20" s="64" t="str">
        <f>'Pendency (2)'!D18</f>
        <v xml:space="preserve">Mr Subhash Chandra Gupta </v>
      </c>
      <c r="E20" s="64">
        <f>'Pendency (2)'!E18</f>
        <v>15</v>
      </c>
      <c r="F20" s="64">
        <f>'Pendency (2)'!F18</f>
        <v>880000</v>
      </c>
      <c r="G20" s="64">
        <f>'Pendency (2)'!G18</f>
        <v>11</v>
      </c>
      <c r="H20" s="64">
        <f>'Pendency (2)'!H18</f>
        <v>630000</v>
      </c>
      <c r="I20" s="64">
        <f>'Pendency (2)'!I18</f>
        <v>0</v>
      </c>
      <c r="J20" s="64">
        <f>'Pendency (2)'!J18</f>
        <v>0</v>
      </c>
      <c r="K20" s="64">
        <f>'Pendency (2)'!K18</f>
        <v>73.33</v>
      </c>
      <c r="L20" s="64">
        <f>'Pendency (2)'!L18</f>
        <v>71.59</v>
      </c>
      <c r="M20" s="64" t="str">
        <f>'Pendency (2)'!M18</f>
        <v>DayClosePending</v>
      </c>
    </row>
    <row r="21" spans="1:13" outlineLevel="2" x14ac:dyDescent="0.25">
      <c r="A21" s="64" t="str">
        <f>'Pendency (2)'!A19</f>
        <v>Minapur</v>
      </c>
      <c r="B21" s="64" t="str">
        <f>'Pendency (2)'!B19</f>
        <v>21:10</v>
      </c>
      <c r="C21" s="64" t="str">
        <f>'Pendency (2)'!C19</f>
        <v>4724</v>
      </c>
      <c r="D21" s="64" t="str">
        <f>'Pendency (2)'!D19</f>
        <v xml:space="preserve">Mr Subhash Chandra Gupta </v>
      </c>
      <c r="E21" s="64">
        <f>'Pendency (2)'!E19</f>
        <v>6</v>
      </c>
      <c r="F21" s="64">
        <f>'Pendency (2)'!F19</f>
        <v>350000</v>
      </c>
      <c r="G21" s="64">
        <f>'Pendency (2)'!G19</f>
        <v>5</v>
      </c>
      <c r="H21" s="64">
        <f>'Pendency (2)'!H19</f>
        <v>320000</v>
      </c>
      <c r="I21" s="64">
        <f>'Pendency (2)'!I19</f>
        <v>1</v>
      </c>
      <c r="J21" s="64">
        <f>'Pendency (2)'!J19</f>
        <v>159</v>
      </c>
      <c r="K21" s="64">
        <f>'Pendency (2)'!K19</f>
        <v>83.33</v>
      </c>
      <c r="L21" s="64">
        <f>'Pendency (2)'!L19</f>
        <v>91.43</v>
      </c>
      <c r="M21" s="64" t="str">
        <f>'Pendency (2)'!M19</f>
        <v>DayClosePending</v>
      </c>
    </row>
    <row r="22" spans="1:13" outlineLevel="2" x14ac:dyDescent="0.25">
      <c r="A22" s="69"/>
      <c r="B22" s="70"/>
      <c r="C22" s="70"/>
      <c r="D22" s="69"/>
      <c r="E22" s="69">
        <f>SUM(E16:E21)</f>
        <v>87</v>
      </c>
      <c r="F22" s="69">
        <f>SUM(F16:F21)</f>
        <v>5410000</v>
      </c>
      <c r="G22" s="69">
        <f>SUM(G16:G21)</f>
        <v>58</v>
      </c>
      <c r="H22" s="69">
        <f t="shared" ref="H22" si="4">SUM(H16:H21)</f>
        <v>3560000</v>
      </c>
      <c r="I22" s="69">
        <f t="shared" ref="I22" si="5">SUM(I16:I21)</f>
        <v>4</v>
      </c>
      <c r="J22" s="69">
        <f t="shared" ref="J22" si="6">SUM(J16:J21)</f>
        <v>2854</v>
      </c>
      <c r="K22" s="71">
        <f>+G22/E22*100</f>
        <v>66.666666666666657</v>
      </c>
      <c r="L22" s="71">
        <f>+H22/F22*100</f>
        <v>65.804066543438083</v>
      </c>
      <c r="M22" s="69"/>
    </row>
    <row r="23" spans="1:13" outlineLevel="2" x14ac:dyDescent="0.25">
      <c r="A23" s="64" t="str">
        <f>'Pendency (2)'!A20</f>
        <v>Baruari</v>
      </c>
      <c r="B23" s="64" t="str">
        <f>'Pendency (2)'!B20</f>
        <v>21:23</v>
      </c>
      <c r="C23" s="64" t="str">
        <f>'Pendency (2)'!C20</f>
        <v>5999</v>
      </c>
      <c r="D23" s="64" t="str">
        <f>'Pendency (2)'!D20</f>
        <v>Sunil kumar Pandey</v>
      </c>
      <c r="E23" s="64">
        <f>'Pendency (2)'!E20</f>
        <v>23</v>
      </c>
      <c r="F23" s="64">
        <f>'Pendency (2)'!F20</f>
        <v>1115000</v>
      </c>
      <c r="G23" s="64">
        <f>'Pendency (2)'!G20</f>
        <v>12</v>
      </c>
      <c r="H23" s="64">
        <f>'Pendency (2)'!H20</f>
        <v>790000</v>
      </c>
      <c r="I23" s="64">
        <f>'Pendency (2)'!I20</f>
        <v>0</v>
      </c>
      <c r="J23" s="64">
        <f>'Pendency (2)'!J20</f>
        <v>0</v>
      </c>
      <c r="K23" s="64">
        <f>'Pendency (2)'!K20</f>
        <v>52.17</v>
      </c>
      <c r="L23" s="64">
        <f>'Pendency (2)'!L20</f>
        <v>70.849999999999994</v>
      </c>
      <c r="M23" s="64" t="str">
        <f>'Pendency (2)'!M20</f>
        <v>DayClosePending</v>
      </c>
    </row>
    <row r="24" spans="1:13" outlineLevel="2" x14ac:dyDescent="0.25">
      <c r="A24" s="64" t="str">
        <f>'Pendency (2)'!A21</f>
        <v>Sarfuddinpur</v>
      </c>
      <c r="B24" s="64" t="str">
        <f>'Pendency (2)'!B21</f>
        <v>21:08</v>
      </c>
      <c r="C24" s="64" t="str">
        <f>'Pendency (2)'!C21</f>
        <v>5999</v>
      </c>
      <c r="D24" s="64" t="str">
        <f>'Pendency (2)'!D21</f>
        <v>Sunil kumar Pandey</v>
      </c>
      <c r="E24" s="64">
        <f>'Pendency (2)'!E21</f>
        <v>13</v>
      </c>
      <c r="F24" s="64">
        <f>'Pendency (2)'!F21</f>
        <v>850000</v>
      </c>
      <c r="G24" s="64">
        <f>'Pendency (2)'!G21</f>
        <v>5</v>
      </c>
      <c r="H24" s="64">
        <f>'Pendency (2)'!H21</f>
        <v>510000</v>
      </c>
      <c r="I24" s="64">
        <f>'Pendency (2)'!I21</f>
        <v>4</v>
      </c>
      <c r="J24" s="64">
        <f>'Pendency (2)'!J21</f>
        <v>177</v>
      </c>
      <c r="K24" s="64">
        <f>'Pendency (2)'!K21</f>
        <v>38.46</v>
      </c>
      <c r="L24" s="64">
        <f>'Pendency (2)'!L21</f>
        <v>60</v>
      </c>
      <c r="M24" s="64" t="str">
        <f>'Pendency (2)'!M21</f>
        <v>DayClosePending</v>
      </c>
    </row>
    <row r="25" spans="1:13" outlineLevel="1" x14ac:dyDescent="0.25">
      <c r="A25" s="64" t="str">
        <f>'Pendency (2)'!A22</f>
        <v>Bhusara</v>
      </c>
      <c r="B25" s="64" t="str">
        <f>'Pendency (2)'!B22</f>
        <v>21:15</v>
      </c>
      <c r="C25" s="64" t="str">
        <f>'Pendency (2)'!C22</f>
        <v>5999</v>
      </c>
      <c r="D25" s="64" t="str">
        <f>'Pendency (2)'!D22</f>
        <v>Sunil kumar Pandey</v>
      </c>
      <c r="E25" s="64">
        <f>'Pendency (2)'!E22</f>
        <v>14</v>
      </c>
      <c r="F25" s="64">
        <f>'Pendency (2)'!F22</f>
        <v>530000</v>
      </c>
      <c r="G25" s="64">
        <f>'Pendency (2)'!G22</f>
        <v>3</v>
      </c>
      <c r="H25" s="64">
        <f>'Pendency (2)'!H22</f>
        <v>90000</v>
      </c>
      <c r="I25" s="64">
        <f>'Pendency (2)'!I22</f>
        <v>1</v>
      </c>
      <c r="J25" s="64">
        <f>'Pendency (2)'!J22</f>
        <v>1018</v>
      </c>
      <c r="K25" s="64">
        <f>'Pendency (2)'!K22</f>
        <v>21.43</v>
      </c>
      <c r="L25" s="64">
        <f>'Pendency (2)'!L22</f>
        <v>16.98</v>
      </c>
      <c r="M25" s="64" t="str">
        <f>'Pendency (2)'!M22</f>
        <v>DayClosePending</v>
      </c>
    </row>
    <row r="26" spans="1:13" outlineLevel="2" x14ac:dyDescent="0.25">
      <c r="A26" s="64" t="str">
        <f>'Pendency (2)'!A23</f>
        <v>Jalle</v>
      </c>
      <c r="B26" s="64" t="str">
        <f>'Pendency (2)'!B23</f>
        <v>21:28</v>
      </c>
      <c r="C26" s="64" t="str">
        <f>'Pendency (2)'!C23</f>
        <v>5999</v>
      </c>
      <c r="D26" s="64" t="str">
        <f>'Pendency (2)'!D23</f>
        <v>Sunil kumar Pandey</v>
      </c>
      <c r="E26" s="64">
        <f>'Pendency (2)'!E23</f>
        <v>11</v>
      </c>
      <c r="F26" s="64">
        <f>'Pendency (2)'!F23</f>
        <v>470000</v>
      </c>
      <c r="G26" s="64">
        <f>'Pendency (2)'!G23</f>
        <v>7</v>
      </c>
      <c r="H26" s="64">
        <f>'Pendency (2)'!H23</f>
        <v>355000</v>
      </c>
      <c r="I26" s="64">
        <f>'Pendency (2)'!I23</f>
        <v>1</v>
      </c>
      <c r="J26" s="64">
        <f>'Pendency (2)'!J23</f>
        <v>590</v>
      </c>
      <c r="K26" s="64">
        <f>'Pendency (2)'!K23</f>
        <v>63.64</v>
      </c>
      <c r="L26" s="64">
        <f>'Pendency (2)'!L23</f>
        <v>75.53</v>
      </c>
      <c r="M26" s="64" t="str">
        <f>'Pendency (2)'!M23</f>
        <v>DayClosePending</v>
      </c>
    </row>
    <row r="27" spans="1:13" outlineLevel="2" x14ac:dyDescent="0.25">
      <c r="A27" s="64" t="str">
        <f>'Pendency (2)'!A24</f>
        <v>Bochahan</v>
      </c>
      <c r="B27" s="64" t="str">
        <f>'Pendency (2)'!B24</f>
        <v>21:12</v>
      </c>
      <c r="C27" s="64" t="str">
        <f>'Pendency (2)'!C24</f>
        <v>5999</v>
      </c>
      <c r="D27" s="64" t="str">
        <f>'Pendency (2)'!D24</f>
        <v>Sunil kumar Pandey</v>
      </c>
      <c r="E27" s="64">
        <f>'Pendency (2)'!E24</f>
        <v>8</v>
      </c>
      <c r="F27" s="64">
        <f>'Pendency (2)'!F24</f>
        <v>470000</v>
      </c>
      <c r="G27" s="64">
        <f>'Pendency (2)'!G24</f>
        <v>5</v>
      </c>
      <c r="H27" s="64">
        <f>'Pendency (2)'!H24</f>
        <v>280000</v>
      </c>
      <c r="I27" s="64">
        <f>'Pendency (2)'!I24</f>
        <v>0</v>
      </c>
      <c r="J27" s="64">
        <f>'Pendency (2)'!J24</f>
        <v>0</v>
      </c>
      <c r="K27" s="64">
        <f>'Pendency (2)'!K24</f>
        <v>62.5</v>
      </c>
      <c r="L27" s="64">
        <f>'Pendency (2)'!L24</f>
        <v>59.57</v>
      </c>
      <c r="M27" s="64" t="str">
        <f>'Pendency (2)'!M24</f>
        <v>DayClosePending</v>
      </c>
    </row>
    <row r="28" spans="1:13" outlineLevel="2" x14ac:dyDescent="0.25">
      <c r="A28" s="64" t="str">
        <f>'Pendency (2)'!A25</f>
        <v>Bharwada</v>
      </c>
      <c r="B28" s="64" t="str">
        <f>'Pendency (2)'!B25</f>
        <v>21:26</v>
      </c>
      <c r="C28" s="64" t="str">
        <f>'Pendency (2)'!C25</f>
        <v>5999</v>
      </c>
      <c r="D28" s="64" t="str">
        <f>'Pendency (2)'!D25</f>
        <v>Sunil kumar Pandey</v>
      </c>
      <c r="E28" s="64">
        <f>'Pendency (2)'!E25</f>
        <v>14</v>
      </c>
      <c r="F28" s="64">
        <f>'Pendency (2)'!F25</f>
        <v>730000</v>
      </c>
      <c r="G28" s="64">
        <f>'Pendency (2)'!G25</f>
        <v>6</v>
      </c>
      <c r="H28" s="64">
        <f>'Pendency (2)'!H25</f>
        <v>380000</v>
      </c>
      <c r="I28" s="64">
        <f>'Pendency (2)'!I25</f>
        <v>0</v>
      </c>
      <c r="J28" s="64">
        <f>'Pendency (2)'!J25</f>
        <v>0</v>
      </c>
      <c r="K28" s="64">
        <f>'Pendency (2)'!K25</f>
        <v>42.86</v>
      </c>
      <c r="L28" s="64">
        <f>'Pendency (2)'!L25</f>
        <v>52.05</v>
      </c>
      <c r="M28" s="64" t="str">
        <f>'Pendency (2)'!M25</f>
        <v>DayClosePending</v>
      </c>
    </row>
    <row r="29" spans="1:13" outlineLevel="2" x14ac:dyDescent="0.25">
      <c r="A29" s="64"/>
      <c r="B29" s="63"/>
      <c r="C29" s="63"/>
      <c r="D29" s="64"/>
      <c r="E29" s="64">
        <f>SUM(E23:E28)</f>
        <v>83</v>
      </c>
      <c r="F29" s="64">
        <f>SUM(F23:F28)</f>
        <v>4165000</v>
      </c>
      <c r="G29" s="64">
        <f>SUM(G23:G28)</f>
        <v>38</v>
      </c>
      <c r="H29" s="64">
        <f t="shared" ref="H29" si="7">SUM(H23:H28)</f>
        <v>2405000</v>
      </c>
      <c r="I29" s="64">
        <f t="shared" ref="I29" si="8">SUM(I23:I28)</f>
        <v>6</v>
      </c>
      <c r="J29" s="64">
        <f t="shared" ref="J29" si="9">SUM(J23:J28)</f>
        <v>1785</v>
      </c>
      <c r="K29" s="16">
        <f>+G29/E29*100</f>
        <v>45.783132530120483</v>
      </c>
      <c r="L29" s="16">
        <f>+H29/F29*100</f>
        <v>57.743097238895558</v>
      </c>
      <c r="M29" s="64"/>
    </row>
    <row r="30" spans="1:13" x14ac:dyDescent="0.25">
      <c r="A30" s="22"/>
      <c r="B30" s="22"/>
      <c r="C30" s="65"/>
      <c r="D30" s="2" t="s">
        <v>6</v>
      </c>
      <c r="E30" s="2">
        <f t="shared" ref="E30:J30" si="10">E8+E15+E22+E29</f>
        <v>354</v>
      </c>
      <c r="F30" s="2">
        <f t="shared" si="10"/>
        <v>19286000</v>
      </c>
      <c r="G30" s="2">
        <f t="shared" si="10"/>
        <v>191</v>
      </c>
      <c r="H30" s="2">
        <f t="shared" si="10"/>
        <v>11345000</v>
      </c>
      <c r="I30" s="2">
        <f t="shared" si="10"/>
        <v>49</v>
      </c>
      <c r="J30" s="2">
        <f t="shared" si="10"/>
        <v>9054</v>
      </c>
      <c r="K30" s="16">
        <f>+G30/E30*100</f>
        <v>53.954802259887003</v>
      </c>
      <c r="L30" s="16">
        <f>+H30/F30*100</f>
        <v>58.825054443637868</v>
      </c>
      <c r="M30" s="22"/>
    </row>
  </sheetData>
  <conditionalFormatting sqref="N14:N15 O12 G8:J8">
    <cfRule type="colorScale" priority="3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8 A8 M15 A15 A22 M22 M29 A29">
    <cfRule type="colorScale" priority="3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5:J15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2:J22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9:J29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9:M1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6:M2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3:M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:M7">
    <cfRule type="colorScale" priority="4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6"/>
  <sheetViews>
    <sheetView zoomScale="77" zoomScaleNormal="77" workbookViewId="0">
      <pane ySplit="1" topLeftCell="A2" activePane="bottomLeft" state="frozen"/>
      <selection activeCell="F29" activeCellId="1" sqref="P15 F29"/>
      <selection pane="bottomLeft" activeCell="A2" sqref="A2:M25"/>
    </sheetView>
  </sheetViews>
  <sheetFormatPr defaultRowHeight="15" outlineLevelRow="2" x14ac:dyDescent="0.25"/>
  <cols>
    <col min="1" max="1" width="16.85546875" customWidth="1"/>
    <col min="2" max="2" width="9.5703125" customWidth="1"/>
    <col min="3" max="3" width="11.5703125" style="4" customWidth="1"/>
    <col min="4" max="4" width="28.140625" bestFit="1" customWidth="1"/>
    <col min="5" max="5" width="15.140625" customWidth="1"/>
    <col min="6" max="6" width="13.7109375" customWidth="1"/>
    <col min="7" max="8" width="16.85546875" customWidth="1"/>
    <col min="9" max="9" width="12.5703125" customWidth="1"/>
    <col min="10" max="10" width="12.7109375" customWidth="1"/>
    <col min="11" max="11" width="13.140625" customWidth="1"/>
    <col min="12" max="13" width="16.85546875" customWidth="1"/>
  </cols>
  <sheetData>
    <row r="1" spans="1:14" s="3" customFormat="1" ht="22.5" customHeight="1" x14ac:dyDescent="0.25">
      <c r="A1" s="73" t="s">
        <v>22</v>
      </c>
      <c r="B1" s="74" t="s">
        <v>37</v>
      </c>
      <c r="C1" s="75" t="s">
        <v>38</v>
      </c>
      <c r="D1" s="73" t="s">
        <v>39</v>
      </c>
      <c r="E1" s="73" t="s">
        <v>40</v>
      </c>
      <c r="F1" s="73" t="s">
        <v>41</v>
      </c>
      <c r="G1" s="73" t="s">
        <v>42</v>
      </c>
      <c r="H1" s="73" t="s">
        <v>43</v>
      </c>
      <c r="I1" s="73" t="s">
        <v>44</v>
      </c>
      <c r="J1" s="73" t="s">
        <v>45</v>
      </c>
      <c r="K1" s="73" t="s">
        <v>46</v>
      </c>
      <c r="L1" s="73" t="s">
        <v>47</v>
      </c>
      <c r="M1" s="73" t="s">
        <v>48</v>
      </c>
    </row>
    <row r="2" spans="1:14" outlineLevel="2" x14ac:dyDescent="0.25">
      <c r="A2" s="69" t="s">
        <v>340</v>
      </c>
      <c r="B2" s="70" t="s">
        <v>341</v>
      </c>
      <c r="C2" s="70" t="s">
        <v>342</v>
      </c>
      <c r="D2" s="69" t="s">
        <v>343</v>
      </c>
      <c r="E2" s="69">
        <v>6</v>
      </c>
      <c r="F2" s="69">
        <v>280000</v>
      </c>
      <c r="G2" s="69">
        <v>5</v>
      </c>
      <c r="H2" s="69">
        <v>250000</v>
      </c>
      <c r="I2" s="69">
        <v>2</v>
      </c>
      <c r="J2" s="69">
        <v>1038</v>
      </c>
      <c r="K2" s="69">
        <v>83.33</v>
      </c>
      <c r="L2" s="69">
        <v>89.29</v>
      </c>
      <c r="M2" s="69" t="s">
        <v>339</v>
      </c>
    </row>
    <row r="3" spans="1:14" outlineLevel="2" x14ac:dyDescent="0.25">
      <c r="A3" s="69" t="s">
        <v>274</v>
      </c>
      <c r="B3" s="70" t="s">
        <v>275</v>
      </c>
      <c r="C3" s="70" t="s">
        <v>342</v>
      </c>
      <c r="D3" s="69" t="s">
        <v>343</v>
      </c>
      <c r="E3" s="69">
        <v>4</v>
      </c>
      <c r="F3" s="69">
        <v>120000</v>
      </c>
      <c r="G3" s="69">
        <v>4</v>
      </c>
      <c r="H3" s="69">
        <v>120000</v>
      </c>
      <c r="I3" s="69">
        <v>7</v>
      </c>
      <c r="J3" s="69">
        <v>621</v>
      </c>
      <c r="K3" s="69">
        <v>100</v>
      </c>
      <c r="L3" s="69">
        <v>100</v>
      </c>
      <c r="M3" s="69" t="s">
        <v>338</v>
      </c>
    </row>
    <row r="4" spans="1:14" outlineLevel="2" x14ac:dyDescent="0.25">
      <c r="A4" s="69" t="s">
        <v>344</v>
      </c>
      <c r="B4" s="70" t="s">
        <v>345</v>
      </c>
      <c r="C4" s="70" t="s">
        <v>342</v>
      </c>
      <c r="D4" s="69" t="s">
        <v>343</v>
      </c>
      <c r="E4" s="69">
        <v>24</v>
      </c>
      <c r="F4" s="69">
        <v>1280000</v>
      </c>
      <c r="G4" s="69">
        <v>15</v>
      </c>
      <c r="H4" s="69">
        <v>810000</v>
      </c>
      <c r="I4" s="69">
        <v>14</v>
      </c>
      <c r="J4" s="69">
        <v>1096</v>
      </c>
      <c r="K4" s="69">
        <v>62.5</v>
      </c>
      <c r="L4" s="69">
        <v>63.28</v>
      </c>
      <c r="M4" s="69" t="s">
        <v>338</v>
      </c>
    </row>
    <row r="5" spans="1:14" outlineLevel="2" x14ac:dyDescent="0.25">
      <c r="A5" s="69" t="s">
        <v>276</v>
      </c>
      <c r="B5" s="70" t="s">
        <v>277</v>
      </c>
      <c r="C5" s="70" t="s">
        <v>342</v>
      </c>
      <c r="D5" s="69" t="s">
        <v>343</v>
      </c>
      <c r="E5" s="69">
        <v>21</v>
      </c>
      <c r="F5" s="69">
        <v>986000</v>
      </c>
      <c r="G5" s="69">
        <v>4</v>
      </c>
      <c r="H5" s="69">
        <v>140000</v>
      </c>
      <c r="I5" s="69">
        <v>2</v>
      </c>
      <c r="J5" s="69">
        <v>114</v>
      </c>
      <c r="K5" s="69">
        <v>19.05</v>
      </c>
      <c r="L5" s="69">
        <v>14.2</v>
      </c>
      <c r="M5" s="69" t="s">
        <v>338</v>
      </c>
    </row>
    <row r="6" spans="1:14" outlineLevel="2" x14ac:dyDescent="0.25">
      <c r="A6" s="69" t="s">
        <v>278</v>
      </c>
      <c r="B6" s="70" t="s">
        <v>279</v>
      </c>
      <c r="C6" s="70" t="s">
        <v>342</v>
      </c>
      <c r="D6" s="69" t="s">
        <v>343</v>
      </c>
      <c r="E6" s="69">
        <v>25</v>
      </c>
      <c r="F6" s="69">
        <v>1335000</v>
      </c>
      <c r="G6" s="69">
        <v>15</v>
      </c>
      <c r="H6" s="69">
        <v>880000</v>
      </c>
      <c r="I6" s="69">
        <v>2</v>
      </c>
      <c r="J6" s="69">
        <v>584</v>
      </c>
      <c r="K6" s="69">
        <v>60</v>
      </c>
      <c r="L6" s="69">
        <v>65.92</v>
      </c>
      <c r="M6" s="69" t="s">
        <v>338</v>
      </c>
    </row>
    <row r="7" spans="1:14" outlineLevel="2" x14ac:dyDescent="0.25">
      <c r="A7" s="69" t="s">
        <v>346</v>
      </c>
      <c r="B7" s="70" t="s">
        <v>347</v>
      </c>
      <c r="C7" s="70" t="s">
        <v>342</v>
      </c>
      <c r="D7" s="69" t="s">
        <v>343</v>
      </c>
      <c r="E7" s="69">
        <v>15</v>
      </c>
      <c r="F7" s="69">
        <v>980000</v>
      </c>
      <c r="G7" s="69">
        <v>6</v>
      </c>
      <c r="H7" s="69">
        <v>520000</v>
      </c>
      <c r="I7" s="69">
        <v>11</v>
      </c>
      <c r="J7" s="69">
        <v>942</v>
      </c>
      <c r="K7" s="69">
        <v>40</v>
      </c>
      <c r="L7" s="69">
        <v>53.06</v>
      </c>
      <c r="M7" s="69" t="s">
        <v>338</v>
      </c>
    </row>
    <row r="8" spans="1:14" outlineLevel="2" x14ac:dyDescent="0.25">
      <c r="A8" s="69" t="s">
        <v>348</v>
      </c>
      <c r="B8" s="70" t="s">
        <v>349</v>
      </c>
      <c r="C8" s="70" t="s">
        <v>350</v>
      </c>
      <c r="D8" s="69" t="s">
        <v>351</v>
      </c>
      <c r="E8" s="69">
        <v>16</v>
      </c>
      <c r="F8" s="69">
        <v>800000</v>
      </c>
      <c r="G8" s="69">
        <v>8</v>
      </c>
      <c r="H8" s="69">
        <v>430000</v>
      </c>
      <c r="I8" s="69">
        <v>0</v>
      </c>
      <c r="J8" s="69">
        <v>0</v>
      </c>
      <c r="K8" s="71">
        <v>50</v>
      </c>
      <c r="L8" s="71">
        <v>53.75</v>
      </c>
      <c r="M8" s="69" t="s">
        <v>338</v>
      </c>
    </row>
    <row r="9" spans="1:14" outlineLevel="1" x14ac:dyDescent="0.25">
      <c r="A9" s="69" t="s">
        <v>270</v>
      </c>
      <c r="B9" s="70" t="s">
        <v>271</v>
      </c>
      <c r="C9" s="69">
        <v>4299</v>
      </c>
      <c r="D9" s="69" t="s">
        <v>351</v>
      </c>
      <c r="E9" s="69">
        <v>12</v>
      </c>
      <c r="F9" s="69">
        <v>670000</v>
      </c>
      <c r="G9" s="69">
        <v>7</v>
      </c>
      <c r="H9" s="69">
        <v>460000</v>
      </c>
      <c r="I9" s="69">
        <v>0</v>
      </c>
      <c r="J9" s="69">
        <v>0</v>
      </c>
      <c r="K9" s="69">
        <v>58.33</v>
      </c>
      <c r="L9" s="69">
        <v>68.66</v>
      </c>
      <c r="M9" s="69" t="s">
        <v>338</v>
      </c>
    </row>
    <row r="10" spans="1:14" outlineLevel="2" x14ac:dyDescent="0.25">
      <c r="A10" s="69" t="s">
        <v>352</v>
      </c>
      <c r="B10" s="70" t="s">
        <v>353</v>
      </c>
      <c r="C10" s="70" t="s">
        <v>350</v>
      </c>
      <c r="D10" s="69" t="s">
        <v>351</v>
      </c>
      <c r="E10" s="69">
        <v>16</v>
      </c>
      <c r="F10" s="69">
        <v>680000</v>
      </c>
      <c r="G10" s="69">
        <v>7</v>
      </c>
      <c r="H10" s="69">
        <v>350000</v>
      </c>
      <c r="I10" s="69">
        <v>0</v>
      </c>
      <c r="J10" s="69">
        <v>0</v>
      </c>
      <c r="K10" s="69">
        <v>43.75</v>
      </c>
      <c r="L10" s="69">
        <v>51.47</v>
      </c>
      <c r="M10" s="69" t="s">
        <v>338</v>
      </c>
    </row>
    <row r="11" spans="1:14" outlineLevel="2" x14ac:dyDescent="0.25">
      <c r="A11" s="69" t="s">
        <v>354</v>
      </c>
      <c r="B11" s="70" t="s">
        <v>355</v>
      </c>
      <c r="C11" s="70" t="s">
        <v>350</v>
      </c>
      <c r="D11" s="69" t="s">
        <v>351</v>
      </c>
      <c r="E11" s="69">
        <v>10</v>
      </c>
      <c r="F11" s="69">
        <v>590000</v>
      </c>
      <c r="G11" s="69">
        <v>5</v>
      </c>
      <c r="H11" s="69">
        <v>310000</v>
      </c>
      <c r="I11" s="69">
        <v>0</v>
      </c>
      <c r="J11" s="69">
        <v>0</v>
      </c>
      <c r="K11" s="69">
        <v>50</v>
      </c>
      <c r="L11" s="69">
        <v>52.54</v>
      </c>
      <c r="M11" s="69" t="s">
        <v>338</v>
      </c>
    </row>
    <row r="12" spans="1:14" outlineLevel="2" x14ac:dyDescent="0.25">
      <c r="A12" s="69" t="s">
        <v>272</v>
      </c>
      <c r="B12" s="70" t="s">
        <v>273</v>
      </c>
      <c r="C12" s="70" t="s">
        <v>350</v>
      </c>
      <c r="D12" s="69" t="s">
        <v>351</v>
      </c>
      <c r="E12" s="69">
        <v>18</v>
      </c>
      <c r="F12" s="69">
        <v>930000</v>
      </c>
      <c r="G12" s="69">
        <v>9</v>
      </c>
      <c r="H12" s="69">
        <v>460000</v>
      </c>
      <c r="I12" s="69">
        <v>0</v>
      </c>
      <c r="J12" s="69">
        <v>0</v>
      </c>
      <c r="K12" s="69">
        <v>50</v>
      </c>
      <c r="L12" s="69">
        <v>49.46</v>
      </c>
      <c r="M12" s="69" t="s">
        <v>338</v>
      </c>
    </row>
    <row r="13" spans="1:14" outlineLevel="2" x14ac:dyDescent="0.25">
      <c r="A13" s="69" t="s">
        <v>356</v>
      </c>
      <c r="B13" s="70" t="s">
        <v>357</v>
      </c>
      <c r="C13" s="70" t="s">
        <v>350</v>
      </c>
      <c r="D13" s="69" t="s">
        <v>351</v>
      </c>
      <c r="E13" s="69">
        <v>17</v>
      </c>
      <c r="F13" s="69">
        <v>1060000</v>
      </c>
      <c r="G13" s="69">
        <v>10</v>
      </c>
      <c r="H13" s="69">
        <v>650000</v>
      </c>
      <c r="I13" s="69">
        <v>1</v>
      </c>
      <c r="J13" s="69">
        <v>20</v>
      </c>
      <c r="K13" s="69">
        <v>58.82</v>
      </c>
      <c r="L13" s="69">
        <v>61.32</v>
      </c>
      <c r="M13" s="69" t="s">
        <v>338</v>
      </c>
    </row>
    <row r="14" spans="1:14" outlineLevel="2" x14ac:dyDescent="0.25">
      <c r="A14" s="69" t="s">
        <v>358</v>
      </c>
      <c r="B14" s="70" t="s">
        <v>359</v>
      </c>
      <c r="C14" s="70" t="s">
        <v>360</v>
      </c>
      <c r="D14" s="69" t="s">
        <v>361</v>
      </c>
      <c r="E14" s="69">
        <v>9</v>
      </c>
      <c r="F14" s="69">
        <v>610000</v>
      </c>
      <c r="G14" s="69">
        <v>3</v>
      </c>
      <c r="H14" s="69">
        <v>170000</v>
      </c>
      <c r="I14" s="69">
        <v>2</v>
      </c>
      <c r="J14" s="69">
        <v>2000</v>
      </c>
      <c r="K14" s="69">
        <v>33.33</v>
      </c>
      <c r="L14" s="69">
        <v>27.87</v>
      </c>
      <c r="M14" s="69" t="s">
        <v>338</v>
      </c>
      <c r="N14" s="48"/>
    </row>
    <row r="15" spans="1:14" outlineLevel="2" x14ac:dyDescent="0.25">
      <c r="A15" s="69" t="s">
        <v>362</v>
      </c>
      <c r="B15" s="70" t="s">
        <v>363</v>
      </c>
      <c r="C15" s="70" t="s">
        <v>360</v>
      </c>
      <c r="D15" s="69" t="s">
        <v>361</v>
      </c>
      <c r="E15" s="69">
        <v>10</v>
      </c>
      <c r="F15" s="69">
        <v>680000</v>
      </c>
      <c r="G15" s="69">
        <v>5</v>
      </c>
      <c r="H15" s="69">
        <v>300000</v>
      </c>
      <c r="I15" s="69">
        <v>0</v>
      </c>
      <c r="J15" s="69">
        <v>0</v>
      </c>
      <c r="K15" s="71">
        <v>50</v>
      </c>
      <c r="L15" s="71">
        <v>44.12</v>
      </c>
      <c r="M15" s="69" t="s">
        <v>338</v>
      </c>
    </row>
    <row r="16" spans="1:14" outlineLevel="2" x14ac:dyDescent="0.25">
      <c r="A16" s="69" t="s">
        <v>280</v>
      </c>
      <c r="B16" s="70" t="s">
        <v>281</v>
      </c>
      <c r="C16" s="70" t="s">
        <v>360</v>
      </c>
      <c r="D16" s="69" t="s">
        <v>361</v>
      </c>
      <c r="E16" s="69">
        <v>22</v>
      </c>
      <c r="F16" s="69">
        <v>1210000</v>
      </c>
      <c r="G16" s="69">
        <v>13</v>
      </c>
      <c r="H16" s="69">
        <v>690000</v>
      </c>
      <c r="I16" s="69">
        <v>0</v>
      </c>
      <c r="J16" s="69">
        <v>0</v>
      </c>
      <c r="K16" s="69">
        <v>59.09</v>
      </c>
      <c r="L16" s="69">
        <v>57.02</v>
      </c>
      <c r="M16" s="69" t="s">
        <v>338</v>
      </c>
    </row>
    <row r="17" spans="1:13" outlineLevel="1" x14ac:dyDescent="0.25">
      <c r="A17" s="69" t="s">
        <v>364</v>
      </c>
      <c r="B17" s="70" t="s">
        <v>365</v>
      </c>
      <c r="C17" s="70" t="s">
        <v>360</v>
      </c>
      <c r="D17" s="69" t="s">
        <v>361</v>
      </c>
      <c r="E17" s="69">
        <v>25</v>
      </c>
      <c r="F17" s="69">
        <v>1680000</v>
      </c>
      <c r="G17" s="69">
        <v>21</v>
      </c>
      <c r="H17" s="69">
        <v>1450000</v>
      </c>
      <c r="I17" s="69">
        <v>1</v>
      </c>
      <c r="J17" s="69">
        <v>695</v>
      </c>
      <c r="K17" s="69">
        <v>84</v>
      </c>
      <c r="L17" s="69">
        <v>86.31</v>
      </c>
      <c r="M17" s="69" t="s">
        <v>338</v>
      </c>
    </row>
    <row r="18" spans="1:13" outlineLevel="2" x14ac:dyDescent="0.25">
      <c r="A18" s="69" t="s">
        <v>366</v>
      </c>
      <c r="B18" s="70" t="s">
        <v>367</v>
      </c>
      <c r="C18" s="70" t="s">
        <v>360</v>
      </c>
      <c r="D18" s="69" t="s">
        <v>361</v>
      </c>
      <c r="E18" s="69">
        <v>15</v>
      </c>
      <c r="F18" s="69">
        <v>880000</v>
      </c>
      <c r="G18" s="69">
        <v>11</v>
      </c>
      <c r="H18" s="69">
        <v>630000</v>
      </c>
      <c r="I18" s="69">
        <v>0</v>
      </c>
      <c r="J18" s="69">
        <v>0</v>
      </c>
      <c r="K18" s="69">
        <v>73.33</v>
      </c>
      <c r="L18" s="69">
        <v>71.59</v>
      </c>
      <c r="M18" s="69" t="s">
        <v>338</v>
      </c>
    </row>
    <row r="19" spans="1:13" outlineLevel="2" x14ac:dyDescent="0.25">
      <c r="A19" s="69" t="s">
        <v>368</v>
      </c>
      <c r="B19" s="70" t="s">
        <v>369</v>
      </c>
      <c r="C19" s="70" t="s">
        <v>360</v>
      </c>
      <c r="D19" s="69" t="s">
        <v>361</v>
      </c>
      <c r="E19" s="69">
        <v>6</v>
      </c>
      <c r="F19" s="69">
        <v>350000</v>
      </c>
      <c r="G19" s="69">
        <v>5</v>
      </c>
      <c r="H19" s="69">
        <v>320000</v>
      </c>
      <c r="I19" s="69">
        <v>1</v>
      </c>
      <c r="J19" s="69">
        <v>159</v>
      </c>
      <c r="K19" s="69">
        <v>83.33</v>
      </c>
      <c r="L19" s="69">
        <v>91.43</v>
      </c>
      <c r="M19" s="69" t="s">
        <v>338</v>
      </c>
    </row>
    <row r="20" spans="1:13" outlineLevel="2" x14ac:dyDescent="0.25">
      <c r="A20" s="69" t="s">
        <v>284</v>
      </c>
      <c r="B20" s="70" t="s">
        <v>285</v>
      </c>
      <c r="C20" s="70" t="s">
        <v>370</v>
      </c>
      <c r="D20" s="69" t="s">
        <v>371</v>
      </c>
      <c r="E20" s="69">
        <v>23</v>
      </c>
      <c r="F20" s="69">
        <v>1115000</v>
      </c>
      <c r="G20" s="69">
        <v>12</v>
      </c>
      <c r="H20" s="69">
        <v>790000</v>
      </c>
      <c r="I20" s="69">
        <v>0</v>
      </c>
      <c r="J20" s="69">
        <v>0</v>
      </c>
      <c r="K20" s="69">
        <v>52.17</v>
      </c>
      <c r="L20" s="69">
        <v>70.849999999999994</v>
      </c>
      <c r="M20" s="69" t="s">
        <v>338</v>
      </c>
    </row>
    <row r="21" spans="1:13" outlineLevel="2" x14ac:dyDescent="0.25">
      <c r="A21" s="69" t="s">
        <v>286</v>
      </c>
      <c r="B21" s="70" t="s">
        <v>287</v>
      </c>
      <c r="C21" s="70" t="s">
        <v>370</v>
      </c>
      <c r="D21" s="69" t="s">
        <v>371</v>
      </c>
      <c r="E21" s="69">
        <v>13</v>
      </c>
      <c r="F21" s="69">
        <v>850000</v>
      </c>
      <c r="G21" s="69">
        <v>5</v>
      </c>
      <c r="H21" s="69">
        <v>510000</v>
      </c>
      <c r="I21" s="69">
        <v>4</v>
      </c>
      <c r="J21" s="69">
        <v>177</v>
      </c>
      <c r="K21" s="69">
        <v>38.46</v>
      </c>
      <c r="L21" s="69">
        <v>60</v>
      </c>
      <c r="M21" s="69" t="s">
        <v>338</v>
      </c>
    </row>
    <row r="22" spans="1:13" outlineLevel="2" x14ac:dyDescent="0.25">
      <c r="A22" s="69" t="s">
        <v>372</v>
      </c>
      <c r="B22" s="70" t="s">
        <v>373</v>
      </c>
      <c r="C22" s="70" t="s">
        <v>370</v>
      </c>
      <c r="D22" s="69" t="s">
        <v>371</v>
      </c>
      <c r="E22" s="69">
        <v>14</v>
      </c>
      <c r="F22" s="69">
        <v>530000</v>
      </c>
      <c r="G22" s="69">
        <v>3</v>
      </c>
      <c r="H22" s="69">
        <v>90000</v>
      </c>
      <c r="I22" s="69">
        <v>1</v>
      </c>
      <c r="J22" s="69">
        <v>1018</v>
      </c>
      <c r="K22" s="71">
        <v>21.43</v>
      </c>
      <c r="L22" s="71">
        <v>16.98</v>
      </c>
      <c r="M22" s="69" t="s">
        <v>338</v>
      </c>
    </row>
    <row r="23" spans="1:13" outlineLevel="2" x14ac:dyDescent="0.25">
      <c r="A23" s="69" t="s">
        <v>288</v>
      </c>
      <c r="B23" s="70" t="s">
        <v>289</v>
      </c>
      <c r="C23" s="70" t="s">
        <v>370</v>
      </c>
      <c r="D23" s="69" t="s">
        <v>371</v>
      </c>
      <c r="E23" s="69">
        <v>11</v>
      </c>
      <c r="F23" s="69">
        <v>470000</v>
      </c>
      <c r="G23" s="69">
        <v>7</v>
      </c>
      <c r="H23" s="69">
        <v>355000</v>
      </c>
      <c r="I23" s="69">
        <v>1</v>
      </c>
      <c r="J23" s="69">
        <v>590</v>
      </c>
      <c r="K23" s="69">
        <v>63.64</v>
      </c>
      <c r="L23" s="69">
        <v>75.53</v>
      </c>
      <c r="M23" s="69" t="s">
        <v>338</v>
      </c>
    </row>
    <row r="24" spans="1:13" outlineLevel="2" x14ac:dyDescent="0.25">
      <c r="A24" s="69" t="s">
        <v>282</v>
      </c>
      <c r="B24" s="70" t="s">
        <v>283</v>
      </c>
      <c r="C24" s="70" t="s">
        <v>370</v>
      </c>
      <c r="D24" s="69" t="s">
        <v>371</v>
      </c>
      <c r="E24" s="69">
        <v>8</v>
      </c>
      <c r="F24" s="69">
        <v>470000</v>
      </c>
      <c r="G24" s="69">
        <v>5</v>
      </c>
      <c r="H24" s="69">
        <v>280000</v>
      </c>
      <c r="I24" s="69">
        <v>0</v>
      </c>
      <c r="J24" s="69">
        <v>0</v>
      </c>
      <c r="K24" s="69">
        <v>62.5</v>
      </c>
      <c r="L24" s="69">
        <v>59.57</v>
      </c>
      <c r="M24" s="69" t="s">
        <v>338</v>
      </c>
    </row>
    <row r="25" spans="1:13" outlineLevel="1" x14ac:dyDescent="0.25">
      <c r="A25" s="69" t="s">
        <v>290</v>
      </c>
      <c r="B25" s="70" t="s">
        <v>291</v>
      </c>
      <c r="C25" s="70" t="s">
        <v>370</v>
      </c>
      <c r="D25" s="69" t="s">
        <v>371</v>
      </c>
      <c r="E25" s="69">
        <v>14</v>
      </c>
      <c r="F25" s="69">
        <v>730000</v>
      </c>
      <c r="G25" s="69">
        <v>6</v>
      </c>
      <c r="H25" s="69">
        <v>380000</v>
      </c>
      <c r="I25" s="69">
        <v>0</v>
      </c>
      <c r="J25" s="69">
        <v>0</v>
      </c>
      <c r="K25" s="69">
        <v>42.86</v>
      </c>
      <c r="L25" s="69">
        <v>52.05</v>
      </c>
      <c r="M25" s="69" t="s">
        <v>338</v>
      </c>
    </row>
    <row r="26" spans="1:13" x14ac:dyDescent="0.25">
      <c r="D26" s="2" t="s">
        <v>6</v>
      </c>
      <c r="E26" s="2">
        <f>SUM(E2:E25)</f>
        <v>354</v>
      </c>
      <c r="F26" s="2">
        <f>SUM(F2:F25)</f>
        <v>19286000</v>
      </c>
      <c r="G26" s="2">
        <f>SUM(G2:G25)</f>
        <v>191</v>
      </c>
      <c r="H26" s="2">
        <f>SUM(H2:H25)</f>
        <v>11345000</v>
      </c>
      <c r="I26" s="2">
        <f>SUM(I2:I25)</f>
        <v>49</v>
      </c>
      <c r="J26" s="2">
        <f>SUM(J2:J25)</f>
        <v>9054</v>
      </c>
      <c r="K26" s="16">
        <f>+G26/E26*100</f>
        <v>53.954802259887003</v>
      </c>
      <c r="L26" s="16">
        <f>+H26/F26*100</f>
        <v>58.825054443637868</v>
      </c>
      <c r="M26" s="1"/>
    </row>
  </sheetData>
  <phoneticPr fontId="9" type="noConversion"/>
  <conditionalFormatting sqref="G15:J1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2:J2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4:N15 O12 G9:L14 G8:J8 G16:L21 G23:L25 G2:L7">
    <cfRule type="colorScale" priority="2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:A25 M2:M25">
    <cfRule type="colorScale" priority="3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48"/>
  <sheetViews>
    <sheetView topLeftCell="A3" zoomScale="70" zoomScaleNormal="70" workbookViewId="0">
      <selection activeCell="F39" sqref="F39:F40"/>
    </sheetView>
  </sheetViews>
  <sheetFormatPr defaultRowHeight="15" x14ac:dyDescent="0.25"/>
  <cols>
    <col min="1" max="1" width="22.140625" bestFit="1" customWidth="1"/>
    <col min="2" max="2" width="27.28515625" bestFit="1" customWidth="1"/>
    <col min="3" max="3" width="18.5703125" bestFit="1" customWidth="1"/>
    <col min="4" max="4" width="15" bestFit="1" customWidth="1"/>
    <col min="5" max="5" width="11.140625" customWidth="1"/>
    <col min="6" max="6" width="16.7109375" customWidth="1"/>
    <col min="7" max="7" width="12.85546875" customWidth="1"/>
    <col min="8" max="8" width="14.5703125" bestFit="1" customWidth="1"/>
    <col min="9" max="9" width="10.85546875" customWidth="1"/>
    <col min="10" max="10" width="13.140625" bestFit="1" customWidth="1"/>
    <col min="11" max="11" width="11" customWidth="1"/>
    <col min="12" max="12" width="14.5703125" bestFit="1" customWidth="1"/>
    <col min="13" max="13" width="12.42578125" customWidth="1"/>
    <col min="14" max="14" width="13.140625" bestFit="1" customWidth="1"/>
    <col min="15" max="15" width="14.5703125" bestFit="1" customWidth="1"/>
    <col min="16" max="16" width="20" bestFit="1" customWidth="1"/>
    <col min="17" max="17" width="5.140625" bestFit="1" customWidth="1"/>
    <col min="18" max="18" width="15.140625" bestFit="1" customWidth="1"/>
    <col min="19" max="19" width="9.28515625" bestFit="1" customWidth="1"/>
    <col min="20" max="20" width="20" bestFit="1" customWidth="1"/>
    <col min="21" max="21" width="5.140625" bestFit="1" customWidth="1"/>
    <col min="22" max="22" width="15.140625" bestFit="1" customWidth="1"/>
  </cols>
  <sheetData>
    <row r="1" spans="1:30" ht="15.75" x14ac:dyDescent="0.25">
      <c r="A1" s="96" t="s">
        <v>80</v>
      </c>
      <c r="B1" s="96"/>
      <c r="C1" s="96"/>
      <c r="D1" s="96"/>
      <c r="E1" s="96"/>
      <c r="F1" s="96"/>
      <c r="W1" s="97" t="s">
        <v>100</v>
      </c>
      <c r="X1" s="97"/>
      <c r="Y1" s="97"/>
      <c r="Z1" s="97"/>
      <c r="AA1" s="97"/>
      <c r="AB1" s="97"/>
      <c r="AC1" s="97"/>
      <c r="AD1" s="97"/>
    </row>
    <row r="2" spans="1:30" ht="15.75" x14ac:dyDescent="0.25">
      <c r="A2" s="43" t="s">
        <v>65</v>
      </c>
      <c r="B2" s="43" t="s">
        <v>74</v>
      </c>
      <c r="C2" s="43" t="s">
        <v>73</v>
      </c>
      <c r="D2" s="43" t="s">
        <v>76</v>
      </c>
      <c r="E2" s="43" t="s">
        <v>73</v>
      </c>
      <c r="F2" s="43" t="s">
        <v>77</v>
      </c>
      <c r="W2" s="37" t="s">
        <v>23</v>
      </c>
      <c r="X2" s="37" t="s">
        <v>82</v>
      </c>
      <c r="Y2" s="37" t="s">
        <v>73</v>
      </c>
      <c r="Z2" s="37" t="s">
        <v>77</v>
      </c>
      <c r="AA2" s="37" t="s">
        <v>23</v>
      </c>
      <c r="AB2" s="37" t="s">
        <v>82</v>
      </c>
      <c r="AC2" s="37" t="s">
        <v>73</v>
      </c>
      <c r="AD2" s="37" t="s">
        <v>77</v>
      </c>
    </row>
    <row r="3" spans="1:30" x14ac:dyDescent="0.25">
      <c r="A3" s="1" t="s">
        <v>0</v>
      </c>
      <c r="B3" s="1" t="s">
        <v>3</v>
      </c>
      <c r="C3" s="1">
        <v>704</v>
      </c>
      <c r="D3" s="1">
        <v>111450</v>
      </c>
      <c r="E3" s="1">
        <v>589</v>
      </c>
      <c r="F3" s="1">
        <v>93300</v>
      </c>
      <c r="W3" s="41">
        <v>0.87569444444444444</v>
      </c>
      <c r="X3" s="1" t="s">
        <v>83</v>
      </c>
      <c r="Y3" s="1">
        <v>96</v>
      </c>
      <c r="Z3" s="1">
        <v>14400</v>
      </c>
      <c r="AA3" s="41">
        <v>0.87569444444444444</v>
      </c>
      <c r="AB3" s="1" t="s">
        <v>83</v>
      </c>
      <c r="AC3" s="1">
        <v>85</v>
      </c>
      <c r="AD3" s="1">
        <v>12750</v>
      </c>
    </row>
    <row r="4" spans="1:30" x14ac:dyDescent="0.25">
      <c r="A4" s="1" t="s">
        <v>0</v>
      </c>
      <c r="B4" s="1" t="s">
        <v>50</v>
      </c>
      <c r="C4" s="1">
        <v>734</v>
      </c>
      <c r="D4" s="1">
        <v>112800</v>
      </c>
      <c r="E4" s="1">
        <v>347</v>
      </c>
      <c r="F4" s="1">
        <v>53250</v>
      </c>
      <c r="W4" s="41">
        <v>0.87638888888888899</v>
      </c>
      <c r="X4" s="1" t="s">
        <v>84</v>
      </c>
      <c r="Y4" s="1">
        <v>36</v>
      </c>
      <c r="Z4" s="1">
        <v>5400</v>
      </c>
      <c r="AA4" s="41">
        <v>0.87638888888888899</v>
      </c>
      <c r="AB4" s="1" t="s">
        <v>84</v>
      </c>
      <c r="AC4" s="1">
        <v>25</v>
      </c>
      <c r="AD4" s="1">
        <v>3750</v>
      </c>
    </row>
    <row r="5" spans="1:30" x14ac:dyDescent="0.25">
      <c r="A5" s="1" t="s">
        <v>0</v>
      </c>
      <c r="B5" s="1" t="s">
        <v>49</v>
      </c>
      <c r="C5" s="1">
        <v>2813</v>
      </c>
      <c r="D5" s="1">
        <v>446850</v>
      </c>
      <c r="E5" s="1">
        <v>1870</v>
      </c>
      <c r="F5" s="1">
        <v>291450</v>
      </c>
      <c r="W5" s="41">
        <v>0.87916666666666676</v>
      </c>
      <c r="X5" s="1" t="s">
        <v>85</v>
      </c>
      <c r="Y5" s="1">
        <v>115</v>
      </c>
      <c r="Z5" s="1">
        <v>18300</v>
      </c>
      <c r="AA5" s="41">
        <v>0.87916666666666676</v>
      </c>
      <c r="AB5" s="1" t="s">
        <v>85</v>
      </c>
      <c r="AC5" s="1">
        <v>102</v>
      </c>
      <c r="AD5" s="1">
        <v>15450</v>
      </c>
    </row>
    <row r="6" spans="1:30" x14ac:dyDescent="0.25">
      <c r="B6" s="47" t="s">
        <v>6</v>
      </c>
      <c r="C6" s="47">
        <f t="shared" ref="C6:F6" si="0">SUM(C3:C5)</f>
        <v>4251</v>
      </c>
      <c r="D6" s="47">
        <f t="shared" si="0"/>
        <v>671100</v>
      </c>
      <c r="E6" s="47">
        <f t="shared" si="0"/>
        <v>2806</v>
      </c>
      <c r="F6" s="47">
        <f t="shared" si="0"/>
        <v>438000</v>
      </c>
      <c r="W6" s="41">
        <v>0.87986111111111109</v>
      </c>
      <c r="X6" s="1" t="s">
        <v>86</v>
      </c>
      <c r="Y6" s="1">
        <v>192</v>
      </c>
      <c r="Z6" s="1">
        <v>28800</v>
      </c>
      <c r="AA6" s="41">
        <v>0.87986111111111109</v>
      </c>
      <c r="AB6" s="1" t="s">
        <v>86</v>
      </c>
      <c r="AC6" s="1">
        <v>178</v>
      </c>
      <c r="AD6" s="1">
        <v>26700</v>
      </c>
    </row>
    <row r="7" spans="1:30" ht="15.75" hidden="1" x14ac:dyDescent="0.25">
      <c r="A7" s="45" t="s">
        <v>65</v>
      </c>
      <c r="B7" s="45" t="s">
        <v>74</v>
      </c>
      <c r="C7" s="45" t="s">
        <v>73</v>
      </c>
      <c r="D7" s="45" t="s">
        <v>76</v>
      </c>
      <c r="E7" s="45" t="s">
        <v>73</v>
      </c>
      <c r="F7" s="45" t="s">
        <v>77</v>
      </c>
      <c r="W7" s="41">
        <v>0.88055555555555554</v>
      </c>
      <c r="X7" s="1" t="s">
        <v>87</v>
      </c>
      <c r="Y7" s="1">
        <v>182</v>
      </c>
      <c r="Z7" s="1">
        <v>27300</v>
      </c>
      <c r="AA7" s="41">
        <v>0.88055555555555554</v>
      </c>
      <c r="AB7" s="1" t="s">
        <v>87</v>
      </c>
      <c r="AC7" s="1">
        <v>188</v>
      </c>
      <c r="AD7" s="1">
        <v>30150</v>
      </c>
    </row>
    <row r="8" spans="1:30" hidden="1" x14ac:dyDescent="0.25">
      <c r="A8" s="1" t="s">
        <v>0</v>
      </c>
      <c r="B8" s="1" t="s">
        <v>4</v>
      </c>
      <c r="C8" s="1">
        <v>1723</v>
      </c>
      <c r="D8" s="1">
        <v>262500</v>
      </c>
      <c r="E8" s="1">
        <v>1248</v>
      </c>
      <c r="F8" s="1">
        <v>189600</v>
      </c>
      <c r="W8" s="41">
        <v>0.88124999999999998</v>
      </c>
      <c r="X8" s="1" t="s">
        <v>88</v>
      </c>
      <c r="Y8" s="1">
        <v>86</v>
      </c>
      <c r="Z8" s="1">
        <v>12900</v>
      </c>
      <c r="AA8" s="41">
        <v>0.88124999999999998</v>
      </c>
      <c r="AB8" s="1" t="s">
        <v>88</v>
      </c>
      <c r="AC8" s="1">
        <v>78</v>
      </c>
      <c r="AD8" s="1">
        <v>11700</v>
      </c>
    </row>
    <row r="9" spans="1:30" hidden="1" x14ac:dyDescent="0.25">
      <c r="A9" s="1" t="s">
        <v>35</v>
      </c>
      <c r="B9" s="1" t="s">
        <v>36</v>
      </c>
      <c r="C9" s="1">
        <v>1755</v>
      </c>
      <c r="D9" s="1">
        <v>267900</v>
      </c>
      <c r="E9" s="1">
        <v>1552</v>
      </c>
      <c r="F9" s="1">
        <v>236400</v>
      </c>
      <c r="W9" s="41">
        <v>0.88194444444444453</v>
      </c>
      <c r="X9" s="1" t="s">
        <v>103</v>
      </c>
      <c r="Y9" s="1">
        <v>6</v>
      </c>
      <c r="Z9" s="1">
        <v>900</v>
      </c>
      <c r="AA9" s="41">
        <v>0.88194444444444453</v>
      </c>
      <c r="AB9" s="1" t="s">
        <v>103</v>
      </c>
      <c r="AC9" s="1">
        <v>7</v>
      </c>
      <c r="AD9" s="1">
        <v>1050</v>
      </c>
    </row>
    <row r="10" spans="1:30" hidden="1" x14ac:dyDescent="0.25">
      <c r="A10" s="1" t="s">
        <v>0</v>
      </c>
      <c r="B10" s="1" t="s">
        <v>78</v>
      </c>
      <c r="C10" s="1">
        <v>736</v>
      </c>
      <c r="D10" s="1">
        <v>113850</v>
      </c>
      <c r="E10" s="1">
        <v>622</v>
      </c>
      <c r="F10" s="1">
        <v>95250</v>
      </c>
      <c r="W10" s="41">
        <v>0.88263888888888886</v>
      </c>
      <c r="X10" s="1" t="s">
        <v>89</v>
      </c>
      <c r="Y10" s="1">
        <v>22</v>
      </c>
      <c r="Z10" s="1">
        <v>3300</v>
      </c>
      <c r="AA10" s="41">
        <v>0.88263888888888886</v>
      </c>
      <c r="AB10" s="1" t="s">
        <v>89</v>
      </c>
      <c r="AC10" s="1">
        <v>21</v>
      </c>
      <c r="AD10" s="1">
        <v>3150</v>
      </c>
    </row>
    <row r="11" spans="1:30" hidden="1" x14ac:dyDescent="0.25">
      <c r="B11" s="44" t="s">
        <v>6</v>
      </c>
      <c r="C11" s="44">
        <f>SUM(C8:C10)</f>
        <v>4214</v>
      </c>
      <c r="D11" s="44">
        <f t="shared" ref="D11:F11" si="1">SUM(D8:D10)</f>
        <v>644250</v>
      </c>
      <c r="E11" s="44">
        <f t="shared" si="1"/>
        <v>3422</v>
      </c>
      <c r="F11" s="44">
        <f t="shared" si="1"/>
        <v>521250</v>
      </c>
      <c r="W11" s="41">
        <v>0.8833333333333333</v>
      </c>
      <c r="X11" s="1" t="s">
        <v>90</v>
      </c>
      <c r="Y11" s="1">
        <v>79</v>
      </c>
      <c r="Z11" s="1">
        <v>11850</v>
      </c>
      <c r="AA11" s="41">
        <v>0.8833333333333333</v>
      </c>
      <c r="AB11" s="1" t="s">
        <v>90</v>
      </c>
      <c r="AC11" s="1">
        <v>218</v>
      </c>
      <c r="AD11" s="1">
        <v>32700</v>
      </c>
    </row>
    <row r="12" spans="1:30" hidden="1" x14ac:dyDescent="0.25">
      <c r="B12" s="37" t="s">
        <v>79</v>
      </c>
      <c r="C12" s="37">
        <f>+C6+C11</f>
        <v>8465</v>
      </c>
      <c r="D12" s="37">
        <f t="shared" ref="D12:F12" si="2">+D6+D11</f>
        <v>1315350</v>
      </c>
      <c r="E12" s="37">
        <f t="shared" si="2"/>
        <v>6228</v>
      </c>
      <c r="F12" s="37">
        <f t="shared" si="2"/>
        <v>959250</v>
      </c>
      <c r="W12" s="41">
        <v>0.88402777777777775</v>
      </c>
      <c r="X12" s="1" t="s">
        <v>91</v>
      </c>
      <c r="Y12" s="1">
        <v>37</v>
      </c>
      <c r="Z12" s="1">
        <v>5850</v>
      </c>
      <c r="AA12" s="41">
        <v>0.88402777777777775</v>
      </c>
      <c r="AB12" s="1" t="s">
        <v>91</v>
      </c>
      <c r="AC12" s="1">
        <v>9</v>
      </c>
      <c r="AD12" s="1">
        <v>1500</v>
      </c>
    </row>
    <row r="13" spans="1:30" x14ac:dyDescent="0.25">
      <c r="W13" s="41">
        <v>0.88611111111111107</v>
      </c>
      <c r="X13" s="1" t="s">
        <v>92</v>
      </c>
      <c r="Y13" s="1">
        <v>3</v>
      </c>
      <c r="Z13" s="1">
        <v>450</v>
      </c>
      <c r="AA13" s="41">
        <v>0.88680555555555562</v>
      </c>
      <c r="AB13" s="1" t="s">
        <v>93</v>
      </c>
      <c r="AC13" s="1">
        <v>158</v>
      </c>
      <c r="AD13" s="1">
        <v>23700</v>
      </c>
    </row>
    <row r="14" spans="1:30" ht="15.75" x14ac:dyDescent="0.25">
      <c r="A14" s="97" t="s">
        <v>81</v>
      </c>
      <c r="B14" s="97"/>
      <c r="C14" s="97"/>
      <c r="W14" s="41">
        <v>0.88680555555555562</v>
      </c>
      <c r="X14" s="1" t="s">
        <v>93</v>
      </c>
      <c r="Y14" s="1">
        <v>154</v>
      </c>
      <c r="Z14" s="1">
        <v>23100</v>
      </c>
      <c r="AA14" s="41">
        <v>0.8881944444444444</v>
      </c>
      <c r="AB14" s="1" t="s">
        <v>94</v>
      </c>
      <c r="AC14" s="1">
        <v>8</v>
      </c>
      <c r="AD14" s="1">
        <v>1200</v>
      </c>
    </row>
    <row r="15" spans="1:30" ht="15.75" x14ac:dyDescent="0.25">
      <c r="A15" s="46" t="s">
        <v>1</v>
      </c>
      <c r="B15" s="46" t="s">
        <v>74</v>
      </c>
      <c r="C15" s="46" t="s">
        <v>75</v>
      </c>
      <c r="W15" s="41">
        <v>0.88750000000000007</v>
      </c>
      <c r="X15" s="1" t="s">
        <v>101</v>
      </c>
      <c r="Y15" s="1">
        <v>2</v>
      </c>
      <c r="Z15" s="1">
        <v>300</v>
      </c>
      <c r="AA15" s="41">
        <v>0.88888888888888884</v>
      </c>
      <c r="AB15" s="1" t="s">
        <v>104</v>
      </c>
      <c r="AC15" s="1">
        <v>3</v>
      </c>
      <c r="AD15" s="1">
        <v>450</v>
      </c>
    </row>
    <row r="16" spans="1:30" hidden="1" x14ac:dyDescent="0.25">
      <c r="A16" s="1" t="s">
        <v>0</v>
      </c>
      <c r="B16" s="1" t="s">
        <v>5</v>
      </c>
      <c r="C16" s="1">
        <v>0</v>
      </c>
      <c r="W16" s="41">
        <v>0.8881944444444444</v>
      </c>
      <c r="X16" s="1" t="s">
        <v>94</v>
      </c>
      <c r="Y16" s="1">
        <v>172</v>
      </c>
      <c r="Z16" s="1">
        <v>25950</v>
      </c>
      <c r="AA16" s="41">
        <v>0.88958333333333339</v>
      </c>
      <c r="AB16" s="1" t="s">
        <v>95</v>
      </c>
      <c r="AC16" s="1">
        <v>3</v>
      </c>
      <c r="AD16" s="1">
        <v>450</v>
      </c>
    </row>
    <row r="17" spans="1:30" hidden="1" x14ac:dyDescent="0.25">
      <c r="A17" s="1" t="s">
        <v>0</v>
      </c>
      <c r="B17" s="1" t="s">
        <v>4</v>
      </c>
      <c r="C17" s="1">
        <v>0</v>
      </c>
      <c r="W17" s="41">
        <v>0.88888888888888884</v>
      </c>
      <c r="X17" s="1" t="s">
        <v>104</v>
      </c>
      <c r="Y17" s="1">
        <v>3</v>
      </c>
      <c r="Z17" s="1">
        <v>450</v>
      </c>
      <c r="AA17" s="41">
        <v>0.89097222222222217</v>
      </c>
      <c r="AB17" s="1" t="s">
        <v>97</v>
      </c>
      <c r="AC17" s="1">
        <v>8</v>
      </c>
      <c r="AD17" s="1">
        <v>1200</v>
      </c>
    </row>
    <row r="18" spans="1:30" x14ac:dyDescent="0.25">
      <c r="A18" s="1" t="s">
        <v>0</v>
      </c>
      <c r="B18" s="1" t="s">
        <v>49</v>
      </c>
      <c r="C18" s="1">
        <v>1042</v>
      </c>
      <c r="W18" s="41">
        <v>0.88958333333333339</v>
      </c>
      <c r="X18" s="1" t="s">
        <v>95</v>
      </c>
      <c r="Y18" s="1">
        <v>3</v>
      </c>
      <c r="Z18" s="1">
        <v>450</v>
      </c>
      <c r="AA18" s="41">
        <v>0.89236111111111116</v>
      </c>
      <c r="AB18" s="1" t="s">
        <v>98</v>
      </c>
      <c r="AC18" s="1">
        <v>5</v>
      </c>
      <c r="AD18" s="1">
        <v>750</v>
      </c>
    </row>
    <row r="19" spans="1:30" x14ac:dyDescent="0.25">
      <c r="A19" s="1" t="s">
        <v>0</v>
      </c>
      <c r="B19" s="1" t="s">
        <v>50</v>
      </c>
      <c r="C19" s="1">
        <v>743</v>
      </c>
      <c r="W19" s="41">
        <v>0.89027777777777783</v>
      </c>
      <c r="X19" s="1" t="s">
        <v>96</v>
      </c>
      <c r="Y19" s="1">
        <v>28</v>
      </c>
      <c r="Z19" s="1">
        <v>4200</v>
      </c>
      <c r="AA19" s="41">
        <v>0.8930555555555556</v>
      </c>
      <c r="AB19" s="1" t="s">
        <v>105</v>
      </c>
      <c r="AC19" s="1">
        <v>33</v>
      </c>
      <c r="AD19" s="1">
        <v>4950</v>
      </c>
    </row>
    <row r="20" spans="1:30" x14ac:dyDescent="0.25">
      <c r="A20" s="1" t="s">
        <v>0</v>
      </c>
      <c r="B20" s="1" t="s">
        <v>3</v>
      </c>
      <c r="C20" s="1">
        <v>1241</v>
      </c>
      <c r="W20" s="41">
        <v>0.89097222222222217</v>
      </c>
      <c r="X20" s="1" t="s">
        <v>97</v>
      </c>
      <c r="Y20" s="1">
        <v>9</v>
      </c>
      <c r="Z20" s="1">
        <v>1350</v>
      </c>
      <c r="AA20" s="41">
        <v>0.89374999999999993</v>
      </c>
      <c r="AB20" s="1" t="s">
        <v>102</v>
      </c>
      <c r="AC20" s="1">
        <v>68</v>
      </c>
      <c r="AD20" s="1">
        <v>10350</v>
      </c>
    </row>
    <row r="21" spans="1:30" x14ac:dyDescent="0.25">
      <c r="B21" s="42" t="s">
        <v>6</v>
      </c>
      <c r="C21" s="42">
        <f>SUM(C16:C20)</f>
        <v>3026</v>
      </c>
      <c r="W21" s="41">
        <v>0.89236111111111116</v>
      </c>
      <c r="X21" s="1" t="s">
        <v>98</v>
      </c>
      <c r="Y21" s="1">
        <v>261</v>
      </c>
      <c r="Z21" s="1">
        <v>39300</v>
      </c>
      <c r="AA21" s="41">
        <v>0.89444444444444438</v>
      </c>
      <c r="AB21" s="1" t="s">
        <v>99</v>
      </c>
      <c r="AC21" s="1">
        <v>16</v>
      </c>
      <c r="AD21" s="1">
        <v>2400</v>
      </c>
    </row>
    <row r="22" spans="1:30" ht="15.75" thickBot="1" x14ac:dyDescent="0.3">
      <c r="X22" s="44" t="s">
        <v>6</v>
      </c>
      <c r="Y22" s="44">
        <f>SUM(Y3:Y21)</f>
        <v>1486</v>
      </c>
      <c r="Z22" s="44">
        <f>SUM(Z3:Z21)</f>
        <v>224550</v>
      </c>
    </row>
    <row r="23" spans="1:30" ht="23.25" x14ac:dyDescent="0.35">
      <c r="A23" s="98" t="s">
        <v>106</v>
      </c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100"/>
      <c r="O23" s="101" t="s">
        <v>107</v>
      </c>
    </row>
    <row r="24" spans="1:30" ht="15.75" x14ac:dyDescent="0.25">
      <c r="A24" s="49"/>
      <c r="B24" s="46"/>
      <c r="C24" s="97" t="s">
        <v>108</v>
      </c>
      <c r="D24" s="97"/>
      <c r="E24" s="97"/>
      <c r="F24" s="97"/>
      <c r="G24" s="97"/>
      <c r="H24" s="97"/>
      <c r="I24" s="102" t="s">
        <v>114</v>
      </c>
      <c r="J24" s="102"/>
      <c r="K24" s="102"/>
      <c r="L24" s="102"/>
      <c r="M24" s="102"/>
      <c r="N24" s="103"/>
      <c r="O24" s="101"/>
    </row>
    <row r="25" spans="1:30" ht="44.25" customHeight="1" x14ac:dyDescent="0.25">
      <c r="A25" s="49"/>
      <c r="B25" s="46"/>
      <c r="C25" s="104" t="s">
        <v>109</v>
      </c>
      <c r="D25" s="104"/>
      <c r="E25" s="104" t="s">
        <v>110</v>
      </c>
      <c r="F25" s="104"/>
      <c r="G25" s="105" t="s">
        <v>111</v>
      </c>
      <c r="H25" s="105"/>
      <c r="I25" s="106" t="s">
        <v>109</v>
      </c>
      <c r="J25" s="106"/>
      <c r="K25" s="106" t="s">
        <v>110</v>
      </c>
      <c r="L25" s="106"/>
      <c r="M25" s="107" t="s">
        <v>115</v>
      </c>
      <c r="N25" s="108"/>
      <c r="O25" s="101"/>
    </row>
    <row r="26" spans="1:30" ht="30" x14ac:dyDescent="0.25">
      <c r="A26" s="50" t="s">
        <v>1</v>
      </c>
      <c r="B26" s="37" t="s">
        <v>74</v>
      </c>
      <c r="C26" s="51" t="s">
        <v>112</v>
      </c>
      <c r="D26" s="51" t="s">
        <v>66</v>
      </c>
      <c r="E26" s="51" t="s">
        <v>112</v>
      </c>
      <c r="F26" s="51" t="s">
        <v>66</v>
      </c>
      <c r="G26" s="51" t="s">
        <v>112</v>
      </c>
      <c r="H26" s="51" t="s">
        <v>66</v>
      </c>
      <c r="I26" s="52" t="s">
        <v>112</v>
      </c>
      <c r="J26" s="52" t="s">
        <v>66</v>
      </c>
      <c r="K26" s="52" t="s">
        <v>112</v>
      </c>
      <c r="L26" s="52" t="s">
        <v>66</v>
      </c>
      <c r="M26" s="52" t="s">
        <v>112</v>
      </c>
      <c r="N26" s="53" t="s">
        <v>66</v>
      </c>
      <c r="O26" s="101"/>
    </row>
    <row r="27" spans="1:30" hidden="1" x14ac:dyDescent="0.25">
      <c r="A27" s="5" t="s">
        <v>0</v>
      </c>
      <c r="B27" s="1" t="s">
        <v>4</v>
      </c>
      <c r="C27" s="1">
        <v>1153</v>
      </c>
      <c r="D27" s="1">
        <v>75650</v>
      </c>
      <c r="E27" s="1">
        <v>9665</v>
      </c>
      <c r="F27" s="1">
        <v>970000</v>
      </c>
      <c r="G27" s="1">
        <f>+C27+E27</f>
        <v>10818</v>
      </c>
      <c r="H27" s="1">
        <f>+D27+F27</f>
        <v>1045650</v>
      </c>
      <c r="I27" s="1">
        <v>0</v>
      </c>
      <c r="J27" s="1">
        <v>0</v>
      </c>
      <c r="K27" s="1">
        <v>196</v>
      </c>
      <c r="L27" s="1">
        <v>19600</v>
      </c>
      <c r="M27" s="1">
        <f>+I27+K27</f>
        <v>196</v>
      </c>
      <c r="N27" s="6">
        <f>+J27+L27</f>
        <v>19600</v>
      </c>
      <c r="O27" s="91" t="s">
        <v>57</v>
      </c>
    </row>
    <row r="28" spans="1:30" hidden="1" x14ac:dyDescent="0.25">
      <c r="A28" s="5" t="s">
        <v>35</v>
      </c>
      <c r="B28" s="1" t="s">
        <v>36</v>
      </c>
      <c r="C28" s="1">
        <v>59</v>
      </c>
      <c r="D28" s="1">
        <v>5600</v>
      </c>
      <c r="E28" s="1">
        <v>1420</v>
      </c>
      <c r="F28" s="1">
        <v>143500</v>
      </c>
      <c r="G28" s="1">
        <f t="shared" ref="G28:H33" si="3">+C28+E28</f>
        <v>1479</v>
      </c>
      <c r="H28" s="1">
        <f t="shared" si="3"/>
        <v>149100</v>
      </c>
      <c r="I28" s="1">
        <v>0</v>
      </c>
      <c r="J28" s="1">
        <v>0</v>
      </c>
      <c r="K28" s="1">
        <v>28</v>
      </c>
      <c r="L28" s="1">
        <v>2800</v>
      </c>
      <c r="M28" s="1">
        <f t="shared" ref="M28:N33" si="4">+I28+K28</f>
        <v>28</v>
      </c>
      <c r="N28" s="6">
        <f t="shared" si="4"/>
        <v>2800</v>
      </c>
      <c r="O28" s="91"/>
    </row>
    <row r="29" spans="1:30" hidden="1" x14ac:dyDescent="0.25">
      <c r="A29" s="5" t="s">
        <v>0</v>
      </c>
      <c r="B29" s="1" t="s">
        <v>5</v>
      </c>
      <c r="C29" s="1">
        <v>93</v>
      </c>
      <c r="D29" s="1">
        <v>8450</v>
      </c>
      <c r="E29" s="1">
        <v>4996</v>
      </c>
      <c r="F29" s="1">
        <v>600350</v>
      </c>
      <c r="G29" s="1">
        <f t="shared" si="3"/>
        <v>5089</v>
      </c>
      <c r="H29" s="1">
        <f t="shared" si="3"/>
        <v>608800</v>
      </c>
      <c r="I29" s="1">
        <v>4</v>
      </c>
      <c r="J29" s="1">
        <v>0</v>
      </c>
      <c r="K29" s="1">
        <v>108</v>
      </c>
      <c r="L29" s="1">
        <v>12800</v>
      </c>
      <c r="M29" s="1">
        <f t="shared" si="4"/>
        <v>112</v>
      </c>
      <c r="N29" s="6">
        <f t="shared" si="4"/>
        <v>12800</v>
      </c>
      <c r="O29" s="91"/>
    </row>
    <row r="30" spans="1:30" hidden="1" x14ac:dyDescent="0.25">
      <c r="A30" s="5"/>
      <c r="B30" s="47" t="s">
        <v>6</v>
      </c>
      <c r="C30" s="47">
        <v>0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v>0</v>
      </c>
      <c r="O30" s="54"/>
    </row>
    <row r="31" spans="1:30" x14ac:dyDescent="0.25">
      <c r="A31" s="5" t="s">
        <v>0</v>
      </c>
      <c r="B31" s="1" t="s">
        <v>3</v>
      </c>
      <c r="C31" s="1">
        <v>1358</v>
      </c>
      <c r="D31" s="1">
        <v>109300</v>
      </c>
      <c r="E31" s="1">
        <v>6435</v>
      </c>
      <c r="F31" s="1">
        <v>644500</v>
      </c>
      <c r="G31" s="1">
        <f t="shared" si="3"/>
        <v>7793</v>
      </c>
      <c r="H31" s="1">
        <f t="shared" si="3"/>
        <v>753800</v>
      </c>
      <c r="I31" s="1">
        <v>2</v>
      </c>
      <c r="J31" s="1">
        <v>0</v>
      </c>
      <c r="K31" s="1">
        <v>38</v>
      </c>
      <c r="L31" s="1">
        <v>3800</v>
      </c>
      <c r="M31" s="1">
        <f t="shared" si="4"/>
        <v>40</v>
      </c>
      <c r="N31" s="6">
        <f t="shared" si="4"/>
        <v>3800</v>
      </c>
      <c r="O31" s="91" t="s">
        <v>63</v>
      </c>
    </row>
    <row r="32" spans="1:30" x14ac:dyDescent="0.25">
      <c r="A32" s="5" t="s">
        <v>0</v>
      </c>
      <c r="B32" s="1" t="s">
        <v>50</v>
      </c>
      <c r="C32" s="1">
        <v>1202</v>
      </c>
      <c r="D32" s="1">
        <v>120450</v>
      </c>
      <c r="E32" s="1">
        <v>10154</v>
      </c>
      <c r="F32" s="1">
        <v>1016150</v>
      </c>
      <c r="G32" s="1">
        <f t="shared" si="3"/>
        <v>11356</v>
      </c>
      <c r="H32" s="1">
        <f t="shared" si="3"/>
        <v>1136600</v>
      </c>
      <c r="I32" s="1">
        <v>1</v>
      </c>
      <c r="J32" s="1">
        <v>0</v>
      </c>
      <c r="K32" s="1">
        <v>65</v>
      </c>
      <c r="L32" s="1">
        <v>6500</v>
      </c>
      <c r="M32" s="1">
        <f t="shared" si="4"/>
        <v>66</v>
      </c>
      <c r="N32" s="6">
        <f t="shared" si="4"/>
        <v>6500</v>
      </c>
      <c r="O32" s="91"/>
    </row>
    <row r="33" spans="1:15" x14ac:dyDescent="0.25">
      <c r="A33" s="5" t="s">
        <v>0</v>
      </c>
      <c r="B33" s="1" t="s">
        <v>49</v>
      </c>
      <c r="C33" s="1">
        <v>877</v>
      </c>
      <c r="D33" s="1">
        <v>64500</v>
      </c>
      <c r="E33" s="1">
        <v>9882</v>
      </c>
      <c r="F33" s="1">
        <v>995950</v>
      </c>
      <c r="G33" s="1">
        <f t="shared" si="3"/>
        <v>10759</v>
      </c>
      <c r="H33" s="1">
        <f t="shared" si="3"/>
        <v>1060450</v>
      </c>
      <c r="I33" s="1">
        <v>0</v>
      </c>
      <c r="J33" s="1">
        <v>0</v>
      </c>
      <c r="K33" s="1">
        <v>70</v>
      </c>
      <c r="L33" s="1">
        <v>7000</v>
      </c>
      <c r="M33" s="1">
        <f t="shared" si="4"/>
        <v>70</v>
      </c>
      <c r="N33" s="6">
        <f t="shared" si="4"/>
        <v>7000</v>
      </c>
      <c r="O33" s="91"/>
    </row>
    <row r="34" spans="1:15" x14ac:dyDescent="0.25">
      <c r="A34" s="55"/>
      <c r="B34" s="47" t="s">
        <v>6</v>
      </c>
      <c r="C34" s="47">
        <f>SUM(C31:C33)</f>
        <v>3437</v>
      </c>
      <c r="D34" s="47">
        <f>SUM(D31:D33)</f>
        <v>294250</v>
      </c>
      <c r="E34" s="47">
        <f>SUM(E31:E33)</f>
        <v>26471</v>
      </c>
      <c r="F34" s="47">
        <f t="shared" ref="F34:N34" si="5">SUM(F31:F33)</f>
        <v>2656600</v>
      </c>
      <c r="G34" s="47">
        <f t="shared" si="5"/>
        <v>29908</v>
      </c>
      <c r="H34" s="47">
        <f t="shared" si="5"/>
        <v>2950850</v>
      </c>
      <c r="I34" s="47">
        <f t="shared" si="5"/>
        <v>3</v>
      </c>
      <c r="J34" s="47">
        <f t="shared" si="5"/>
        <v>0</v>
      </c>
      <c r="K34" s="47">
        <f t="shared" si="5"/>
        <v>173</v>
      </c>
      <c r="L34" s="47">
        <f t="shared" si="5"/>
        <v>17300</v>
      </c>
      <c r="M34" s="47">
        <f t="shared" si="5"/>
        <v>176</v>
      </c>
      <c r="N34" s="47">
        <f t="shared" si="5"/>
        <v>17300</v>
      </c>
      <c r="O34" s="56"/>
    </row>
    <row r="35" spans="1:15" ht="16.5" hidden="1" thickBot="1" x14ac:dyDescent="0.3">
      <c r="A35" s="40"/>
      <c r="B35" s="57" t="s">
        <v>79</v>
      </c>
      <c r="C35" s="58">
        <f>+C30+C34</f>
        <v>3437</v>
      </c>
      <c r="D35" s="58">
        <f t="shared" ref="D35:N35" si="6">+D30+D34</f>
        <v>294250</v>
      </c>
      <c r="E35" s="58">
        <f t="shared" si="6"/>
        <v>26471</v>
      </c>
      <c r="F35" s="58">
        <f t="shared" si="6"/>
        <v>2656600</v>
      </c>
      <c r="G35" s="58">
        <f t="shared" si="6"/>
        <v>29908</v>
      </c>
      <c r="H35" s="58">
        <f t="shared" si="6"/>
        <v>2950850</v>
      </c>
      <c r="I35" s="58">
        <f t="shared" si="6"/>
        <v>3</v>
      </c>
      <c r="J35" s="58">
        <f t="shared" si="6"/>
        <v>0</v>
      </c>
      <c r="K35" s="58">
        <f t="shared" si="6"/>
        <v>173</v>
      </c>
      <c r="L35" s="58">
        <f t="shared" si="6"/>
        <v>17300</v>
      </c>
      <c r="M35" s="58">
        <f t="shared" si="6"/>
        <v>176</v>
      </c>
      <c r="N35" s="58">
        <f t="shared" si="6"/>
        <v>17300</v>
      </c>
    </row>
    <row r="37" spans="1:15" ht="15.75" thickBot="1" x14ac:dyDescent="0.3"/>
    <row r="38" spans="1:15" ht="69" customHeight="1" x14ac:dyDescent="0.3">
      <c r="A38" s="92" t="s">
        <v>71</v>
      </c>
      <c r="B38" s="93"/>
      <c r="C38" s="94" t="s">
        <v>67</v>
      </c>
      <c r="D38" s="94"/>
      <c r="E38" s="94" t="s">
        <v>113</v>
      </c>
      <c r="F38" s="94"/>
      <c r="G38" s="94" t="s">
        <v>68</v>
      </c>
      <c r="H38" s="94"/>
      <c r="I38" s="94" t="s">
        <v>116</v>
      </c>
      <c r="J38" s="94"/>
      <c r="K38" s="94" t="s">
        <v>69</v>
      </c>
      <c r="L38" s="94"/>
      <c r="M38" s="94" t="s">
        <v>117</v>
      </c>
      <c r="N38" s="95"/>
    </row>
    <row r="39" spans="1:15" ht="30" x14ac:dyDescent="0.25">
      <c r="A39" s="38" t="s">
        <v>65</v>
      </c>
      <c r="B39" s="15" t="s">
        <v>2</v>
      </c>
      <c r="C39" s="15" t="s">
        <v>70</v>
      </c>
      <c r="D39" s="15" t="s">
        <v>66</v>
      </c>
      <c r="E39" s="15" t="s">
        <v>70</v>
      </c>
      <c r="F39" s="15" t="s">
        <v>66</v>
      </c>
      <c r="G39" s="15" t="s">
        <v>70</v>
      </c>
      <c r="H39" s="15" t="s">
        <v>66</v>
      </c>
      <c r="I39" s="15" t="s">
        <v>70</v>
      </c>
      <c r="J39" s="15" t="s">
        <v>66</v>
      </c>
      <c r="K39" s="15" t="s">
        <v>70</v>
      </c>
      <c r="L39" s="15" t="s">
        <v>66</v>
      </c>
      <c r="M39" s="15" t="s">
        <v>70</v>
      </c>
      <c r="N39" s="39" t="s">
        <v>66</v>
      </c>
    </row>
    <row r="40" spans="1:15" hidden="1" x14ac:dyDescent="0.25">
      <c r="A40" s="5" t="s">
        <v>0</v>
      </c>
      <c r="B40" s="1" t="s">
        <v>4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f>+C40+G40</f>
        <v>0</v>
      </c>
      <c r="L40" s="1">
        <f>+D40+H40</f>
        <v>0</v>
      </c>
      <c r="M40" s="1">
        <f>+E40+I40</f>
        <v>0</v>
      </c>
      <c r="N40" s="6">
        <f>+F40+J40</f>
        <v>0</v>
      </c>
    </row>
    <row r="41" spans="1:15" hidden="1" x14ac:dyDescent="0.25">
      <c r="A41" s="5" t="s">
        <v>0</v>
      </c>
      <c r="B41" s="1" t="s">
        <v>36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f t="shared" ref="K41:N46" si="7">+C41+G41</f>
        <v>0</v>
      </c>
      <c r="L41" s="1">
        <f t="shared" si="7"/>
        <v>0</v>
      </c>
      <c r="M41" s="1">
        <f t="shared" si="7"/>
        <v>0</v>
      </c>
      <c r="N41" s="6">
        <f t="shared" si="7"/>
        <v>0</v>
      </c>
    </row>
    <row r="42" spans="1:15" hidden="1" x14ac:dyDescent="0.25">
      <c r="A42" s="5" t="s">
        <v>35</v>
      </c>
      <c r="B42" s="1" t="s">
        <v>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f t="shared" si="7"/>
        <v>0</v>
      </c>
      <c r="L42" s="1">
        <f t="shared" si="7"/>
        <v>0</v>
      </c>
      <c r="M42" s="1">
        <f t="shared" si="7"/>
        <v>0</v>
      </c>
      <c r="N42" s="6">
        <f t="shared" si="7"/>
        <v>0</v>
      </c>
    </row>
    <row r="43" spans="1:15" hidden="1" x14ac:dyDescent="0.25">
      <c r="A43" s="5"/>
      <c r="B43" s="37" t="s">
        <v>6</v>
      </c>
      <c r="C43" s="37">
        <f>SUM(C40:C42)</f>
        <v>0</v>
      </c>
      <c r="D43" s="37">
        <f t="shared" ref="D43:F43" si="8">SUM(D40:D42)</f>
        <v>0</v>
      </c>
      <c r="E43" s="37">
        <f t="shared" si="8"/>
        <v>0</v>
      </c>
      <c r="F43" s="37">
        <f t="shared" si="8"/>
        <v>0</v>
      </c>
      <c r="G43" s="37">
        <f>SUM(G40:G42)</f>
        <v>0</v>
      </c>
      <c r="H43" s="37">
        <f>SUM(H40:H42)</f>
        <v>0</v>
      </c>
      <c r="I43" s="37">
        <f>SUM(I40:I42)</f>
        <v>0</v>
      </c>
      <c r="J43" s="37">
        <f t="shared" ref="J43:N43" si="9">SUM(J40:J42)</f>
        <v>0</v>
      </c>
      <c r="K43" s="37">
        <f>SUM(K40:K42)</f>
        <v>0</v>
      </c>
      <c r="L43" s="37">
        <f t="shared" si="9"/>
        <v>0</v>
      </c>
      <c r="M43" s="37">
        <f t="shared" si="9"/>
        <v>0</v>
      </c>
      <c r="N43" s="37">
        <f t="shared" si="9"/>
        <v>0</v>
      </c>
    </row>
    <row r="44" spans="1:15" x14ac:dyDescent="0.25">
      <c r="A44" s="5" t="s">
        <v>0</v>
      </c>
      <c r="B44" s="1" t="s">
        <v>3</v>
      </c>
      <c r="C44" s="1">
        <v>1033</v>
      </c>
      <c r="D44" s="1">
        <v>78760000</v>
      </c>
      <c r="E44" s="1">
        <v>36</v>
      </c>
      <c r="F44" s="1">
        <v>2930000</v>
      </c>
      <c r="G44" s="1">
        <v>2992</v>
      </c>
      <c r="H44" s="1">
        <v>105633000</v>
      </c>
      <c r="I44" s="1">
        <v>177</v>
      </c>
      <c r="J44" s="1">
        <v>5666000</v>
      </c>
      <c r="K44" s="1">
        <f>+C44+G44</f>
        <v>4025</v>
      </c>
      <c r="L44" s="1">
        <f t="shared" si="7"/>
        <v>184393000</v>
      </c>
      <c r="M44" s="1">
        <f t="shared" si="7"/>
        <v>213</v>
      </c>
      <c r="N44" s="6">
        <f t="shared" si="7"/>
        <v>8596000</v>
      </c>
    </row>
    <row r="45" spans="1:15" x14ac:dyDescent="0.25">
      <c r="A45" s="5" t="s">
        <v>0</v>
      </c>
      <c r="B45" s="1" t="s">
        <v>50</v>
      </c>
      <c r="C45" s="1">
        <v>1418</v>
      </c>
      <c r="D45" s="1">
        <v>115940000</v>
      </c>
      <c r="E45" s="1">
        <v>53</v>
      </c>
      <c r="F45" s="1">
        <v>3760000</v>
      </c>
      <c r="G45" s="1">
        <v>4148</v>
      </c>
      <c r="H45" s="1">
        <v>145963000</v>
      </c>
      <c r="I45" s="1">
        <v>242</v>
      </c>
      <c r="J45" s="1">
        <v>7922000</v>
      </c>
      <c r="K45" s="1">
        <f t="shared" si="7"/>
        <v>5566</v>
      </c>
      <c r="L45" s="1">
        <f t="shared" si="7"/>
        <v>261903000</v>
      </c>
      <c r="M45" s="1">
        <f t="shared" si="7"/>
        <v>295</v>
      </c>
      <c r="N45" s="6">
        <f t="shared" si="7"/>
        <v>11682000</v>
      </c>
    </row>
    <row r="46" spans="1:15" x14ac:dyDescent="0.25">
      <c r="A46" s="5" t="s">
        <v>0</v>
      </c>
      <c r="B46" s="1" t="s">
        <v>49</v>
      </c>
      <c r="C46" s="1">
        <v>1011</v>
      </c>
      <c r="D46" s="1">
        <v>73485000</v>
      </c>
      <c r="E46" s="1">
        <v>49</v>
      </c>
      <c r="F46" s="1">
        <v>3140000</v>
      </c>
      <c r="G46" s="1">
        <v>2662</v>
      </c>
      <c r="H46" s="1">
        <v>95978000</v>
      </c>
      <c r="I46" s="1">
        <v>178</v>
      </c>
      <c r="J46" s="1">
        <v>5638000</v>
      </c>
      <c r="K46" s="1">
        <f t="shared" si="7"/>
        <v>3673</v>
      </c>
      <c r="L46" s="1">
        <f t="shared" si="7"/>
        <v>169463000</v>
      </c>
      <c r="M46" s="1">
        <f t="shared" si="7"/>
        <v>227</v>
      </c>
      <c r="N46" s="6">
        <f t="shared" si="7"/>
        <v>8778000</v>
      </c>
    </row>
    <row r="47" spans="1:15" x14ac:dyDescent="0.25">
      <c r="A47" s="5"/>
      <c r="B47" s="37" t="s">
        <v>6</v>
      </c>
      <c r="C47" s="37">
        <f>SUM(C44:C46)</f>
        <v>3462</v>
      </c>
      <c r="D47" s="37">
        <f t="shared" ref="D47:N47" si="10">SUM(D44:D46)</f>
        <v>268185000</v>
      </c>
      <c r="E47" s="37">
        <f t="shared" si="10"/>
        <v>138</v>
      </c>
      <c r="F47" s="37">
        <f>SUM(F44:F46)</f>
        <v>9830000</v>
      </c>
      <c r="G47" s="37">
        <f>SUM(G44:G46)</f>
        <v>9802</v>
      </c>
      <c r="H47" s="37">
        <f t="shared" si="10"/>
        <v>347574000</v>
      </c>
      <c r="I47" s="37">
        <f>SUM(I44:I46)</f>
        <v>597</v>
      </c>
      <c r="J47" s="37">
        <f>SUM(J44:J46)</f>
        <v>19226000</v>
      </c>
      <c r="K47" s="37">
        <f t="shared" si="10"/>
        <v>13264</v>
      </c>
      <c r="L47" s="37">
        <f>SUM(L44:L46)</f>
        <v>615759000</v>
      </c>
      <c r="M47" s="37">
        <f t="shared" si="10"/>
        <v>735</v>
      </c>
      <c r="N47" s="37">
        <f t="shared" si="10"/>
        <v>29056000</v>
      </c>
    </row>
    <row r="48" spans="1:15" ht="15.75" hidden="1" thickBot="1" x14ac:dyDescent="0.3">
      <c r="A48" s="40"/>
      <c r="B48" s="7" t="s">
        <v>72</v>
      </c>
      <c r="C48" s="7">
        <f>+C43+C47</f>
        <v>3462</v>
      </c>
      <c r="D48" s="7">
        <f t="shared" ref="D48:N48" si="11">+D43+D47</f>
        <v>268185000</v>
      </c>
      <c r="E48" s="7">
        <f t="shared" si="11"/>
        <v>138</v>
      </c>
      <c r="F48" s="7">
        <f t="shared" si="11"/>
        <v>9830000</v>
      </c>
      <c r="G48" s="7">
        <f t="shared" si="11"/>
        <v>9802</v>
      </c>
      <c r="H48" s="7">
        <f t="shared" si="11"/>
        <v>347574000</v>
      </c>
      <c r="I48" s="7">
        <f>+I43+I47</f>
        <v>597</v>
      </c>
      <c r="J48" s="7">
        <f t="shared" si="11"/>
        <v>19226000</v>
      </c>
      <c r="K48" s="7">
        <f t="shared" si="11"/>
        <v>13264</v>
      </c>
      <c r="L48" s="7">
        <f t="shared" si="11"/>
        <v>615759000</v>
      </c>
      <c r="M48" s="7">
        <f>+M43+M47</f>
        <v>735</v>
      </c>
      <c r="N48" s="14">
        <f t="shared" si="11"/>
        <v>29056000</v>
      </c>
    </row>
  </sheetData>
  <mergeCells count="22">
    <mergeCell ref="A1:F1"/>
    <mergeCell ref="W1:AD1"/>
    <mergeCell ref="A14:C14"/>
    <mergeCell ref="A23:N23"/>
    <mergeCell ref="O23:O26"/>
    <mergeCell ref="C24:H24"/>
    <mergeCell ref="I24:N24"/>
    <mergeCell ref="C25:D25"/>
    <mergeCell ref="E25:F25"/>
    <mergeCell ref="G25:H25"/>
    <mergeCell ref="I25:J25"/>
    <mergeCell ref="K25:L25"/>
    <mergeCell ref="M25:N25"/>
    <mergeCell ref="O27:O29"/>
    <mergeCell ref="O31:O33"/>
    <mergeCell ref="A38:B38"/>
    <mergeCell ref="C38:D38"/>
    <mergeCell ref="E38:F38"/>
    <mergeCell ref="G38:H38"/>
    <mergeCell ref="I38:J38"/>
    <mergeCell ref="K38:L38"/>
    <mergeCell ref="M38:N3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Daily Report</vt:lpstr>
      <vt:lpstr>Pending Branch Day Close Report</vt:lpstr>
      <vt:lpstr>Sheet1</vt:lpstr>
      <vt:lpstr>Pendency</vt:lpstr>
      <vt:lpstr>Pendency (2)</vt:lpstr>
      <vt:lpstr>Hospi Cash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</dc:creator>
  <cp:lastModifiedBy>Rakesh ICT</cp:lastModifiedBy>
  <dcterms:created xsi:type="dcterms:W3CDTF">2019-10-21T14:17:37Z</dcterms:created>
  <dcterms:modified xsi:type="dcterms:W3CDTF">2022-12-27T11:12:22Z</dcterms:modified>
</cp:coreProperties>
</file>